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466a35c3a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65c1c8daf2e4cec"/>
    <x:sheet xmlns:r="http://schemas.openxmlformats.org/officeDocument/2006/relationships" name="Quantization_Guide" sheetId="2" r:id="R5c8ca3323f6d4480"/>
    <x:sheet xmlns:r="http://schemas.openxmlformats.org/officeDocument/2006/relationships" name="Fit_Catalog" sheetId="3" r:id="Rb3ea03ced55c4e6e"/>
    <x:sheet xmlns:r="http://schemas.openxmlformats.org/officeDocument/2006/relationships" name="Aggressive_Quant_Only" sheetId="4" r:id="R1b5c4865b08e4477"/>
    <x:sheet xmlns:r="http://schemas.openxmlformats.org/officeDocument/2006/relationships" name="Excluded_Over_100GB" sheetId="5" r:id="R855c94a45f83424b"/>
  </x:sheets>
  <x:definedNames>
    <x:definedName name="_xlnm._FilterDatabase" localSheetId="1" hidden="1">'Quantization_Guide'!$A$1:$D$9</x:definedName>
    <x:definedName name="_xlnm._FilterDatabase" localSheetId="2" hidden="1">'Fit_Catalog'!$A$1:$R$213</x:definedName>
    <x:definedName name="_xlnm._FilterDatabase" localSheetId="3" hidden="1">'Aggressive_Quant_Only'!$A$1:$R$9</x:definedName>
    <x:definedName name="_xlnm._FilterDatabase" localSheetId="4" hidden="1">'Excluded_Over_100GB'!$A$1:$R$13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Models whose highest-fitting quant is 4-bit or better.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Models that only fit under the 100GB heuristic at 3-bit or 2-bit.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Models that do not fit under the 100GB heuristic even at 2-bit.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"/>
    <x:numFmt numFmtId="165" formatCode="0.0%"/>
    <x:numFmt numFmtId="166" formatCode="0.000"/>
  </x:numFmts>
  <x:fonts count="9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sz val="12"/>
    </x:font>
    <x:font>
      <x:b/>
      <x:sz val="12"/>
      <x:color rgb="00FFFFFF"/>
    </x:font>
    <x:font>
      <x:color rgb="000000FF"/>
    </x:font>
    <x:font>
      <x:b/>
    </x:font>
    <x:font>
      <x:b/>
      <x:sz val="11"/>
      <x:color rgb="00FFFFFF"/>
    </x:font>
    <x:font>
      <x:sz val="12"/>
      <x:color theme="10"/>
      <x:name val="Calibri"/>
      <x:family val="2"/>
      <x:scheme val="minor"/>
    </x:font>
    <x:font>
      <x:u val="single"/>
      <x:color rgb="00008000"/>
    </x:font>
  </x:fonts>
  <x:fills count="11">
    <x:fill>
      <x:patternFill patternType="none"/>
    </x:fill>
    <x:fill>
      <x:patternFill patternType="gray125"/>
    </x:fill>
    <x:fill>
      <x:patternFill patternType="solid">
        <x:fgColor rgb="000F243E"/>
      </x:patternFill>
    </x:fill>
    <x:fill>
      <x:patternFill patternType="solid">
        <x:fgColor rgb="00D9EAF7"/>
      </x:patternFill>
    </x:fill>
    <x:fill>
      <x:patternFill patternType="solid">
        <x:fgColor rgb="00E4DFEC"/>
      </x:patternFill>
    </x:fill>
    <x:fill>
      <x:patternFill patternType="solid">
        <x:fgColor rgb="00EAF2F8"/>
      </x:patternFill>
    </x:fill>
    <x:fill>
      <x:patternFill patternType="solid">
        <x:fgColor rgb="001F4E78"/>
      </x:patternFill>
    </x:fill>
    <x:fill>
      <x:patternFill patternType="solid">
        <x:fgColor rgb="00FCE4D6"/>
      </x:patternFill>
    </x:fill>
    <x:fill>
      <x:patternFill patternType="solid">
        <x:fgColor rgb="00FFF4CE"/>
      </x:patternFill>
    </x:fill>
    <x:fill>
      <x:patternFill patternType="solid">
        <x:fgColor rgb="00E2F0D9"/>
      </x:patternFill>
    </x:fill>
    <x:fill>
      <x:patternFill patternType="solid">
        <x:fgColor rgb="00F7FBFF"/>
      </x:patternFill>
    </x:fill>
  </x:fills>
  <x:borders count="3">
    <x:border>
      <x:left/>
      <x:right/>
      <x:top/>
      <x:bottom/>
      <x:diagonal/>
    </x:border>
    <x:border>
      <x:bottom style="thin">
        <x:color rgb="00D0D7DE"/>
      </x:bottom>
    </x:border>
    <x:border>
      <x:bottom style="medium">
        <x:color rgb="001F4E78"/>
      </x:bottom>
    </x:border>
  </x:borders>
  <x:cellStyleXfs count="2">
    <x:xf numFmtId="0" fontId="0" fillId="0" borderId="0"/>
    <x:xf numFmtId="0" fontId="7" fillId="0" borderId="0"/>
  </x:cellStyleXfs>
  <x:cellXfs count="24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/>
    <x:xf numFmtId="0" fontId="0" fillId="0" borderId="0" xfId="0" applyAlignment="1">
      <x:alignment wrapText="1"/>
    </x:xf>
    <x:xf numFmtId="0" fontId="3" fillId="2" borderId="0" xfId="0"/>
    <x:xf numFmtId="0" fontId="0" fillId="3" borderId="1" xfId="0"/>
    <x:xf numFmtId="164" fontId="4" fillId="4" borderId="1" xfId="0"/>
    <x:xf numFmtId="0" fontId="0" fillId="0" borderId="1" xfId="0" applyAlignment="1">
      <x:alignment wrapText="1"/>
    </x:xf>
    <x:xf numFmtId="0" fontId="0" fillId="3" borderId="1" xfId="0" applyAlignment="1">
      <x:alignment wrapText="1"/>
    </x:xf>
    <x:xf numFmtId="0" fontId="5" fillId="5" borderId="1" xfId="0"/>
    <x:xf numFmtId="165" fontId="4" fillId="4" borderId="1" xfId="0"/>
    <x:xf numFmtId="2" fontId="4" fillId="4" borderId="1" xfId="0"/>
    <x:xf numFmtId="0" fontId="6" fillId="6" borderId="2" xfId="0" applyAlignment="1">
      <x:alignment horizontal="center" vertical="center" wrapText="1"/>
    </x:xf>
    <x:xf numFmtId="166" fontId="0" fillId="0" borderId="0" xfId="0"/>
    <x:xf numFmtId="0" fontId="0" fillId="0" borderId="0" xfId="0" applyAlignment="1">
      <x:alignment vertical="top" wrapText="1"/>
    </x:xf>
    <x:xf numFmtId="164" fontId="0" fillId="0" borderId="0" xfId="0"/>
    <x:xf numFmtId="0" fontId="0" fillId="7" borderId="0" xfId="0"/>
    <x:xf numFmtId="0" fontId="8" fillId="0" borderId="0" xfId="1" applyAlignment="1">
      <x:alignment vertical="top" wrapText="1"/>
    </x:xf>
    <x:xf numFmtId="0" fontId="0" fillId="8" borderId="0" xfId="0" applyAlignment="1">
      <x:alignment vertical="top" wrapText="1"/>
    </x:xf>
    <x:xf numFmtId="0" fontId="0" fillId="10" borderId="0" xfId="0"/>
    <x:xf numFmtId="0" fontId="0" fillId="10" borderId="0" xfId="0" applyAlignment="1">
      <x:alignment vertical="top" wrapText="1"/>
    </x:xf>
    <x:xf numFmtId="164" fontId="0" fillId="10" borderId="0" xfId="0"/>
    <x:xf numFmtId="0" fontId="8" fillId="10" borderId="0" xfId="1" applyAlignment="1">
      <x:alignment vertical="top" wrapText="1"/>
    </x:xf>
    <x:xf numFmtId="0" fontId="0" fillId="9" borderId="0" xfId="0"/>
  </x:cellXfs>
  <x:cellStyles count="2">
    <x:cellStyle name="Normal" xfId="0"/>
    <x:cellStyle name="Hyperlink" xfId="1"/>
  </x:cellStyles>
  <x:dxfs count="5">
    <x:dxf>
      <x:fill>
        <x:patternFill>
          <x:bgColor rgb="00E2F0D9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F4CCCC"/>
        </x:patternFill>
      </x:fill>
    </x:dxf>
    <x:dxf>
      <x:fill>
        <x:patternFill>
          <x:bgColor rgb="00D9D9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9ab95281d4b2b" /><Relationship Type="http://schemas.openxmlformats.org/officeDocument/2006/relationships/theme" Target="/xl/theme/theme1.xml" Id="R382a0d0f17c5443f" /><Relationship Type="http://schemas.openxmlformats.org/officeDocument/2006/relationships/sharedStrings" Target="/xl/sharedStrings.xml" Id="R4406d099d55f424a" /><Relationship Type="http://schemas.openxmlformats.org/officeDocument/2006/relationships/worksheet" Target="/xl/worksheets/sheet1.xml" Id="Rb65c1c8daf2e4cec" /><Relationship Type="http://schemas.openxmlformats.org/officeDocument/2006/relationships/worksheet" Target="/xl/worksheets/sheet2.xml" Id="R5c8ca3323f6d4480" /><Relationship Type="http://schemas.openxmlformats.org/officeDocument/2006/relationships/worksheet" Target="/xl/worksheets/sheet3.xml" Id="Rb3ea03ced55c4e6e" /><Relationship Type="http://schemas.openxmlformats.org/officeDocument/2006/relationships/worksheet" Target="/xl/worksheets/sheet4.xml" Id="R1b5c4865b08e4477" /><Relationship Type="http://schemas.openxmlformats.org/officeDocument/2006/relationships/worksheet" Target="/xl/worksheets/sheet5.xml" Id="R855c94a45f83424b" /><Relationship Type="http://schemas.microsoft.com/office/2017/10/relationships/person" Target="/xl/persons/person.xml" Id="Rd3018906a60d48db" /></Relationships>
</file>

<file path=xl/persons/person.xml><?xml version="1.0" encoding="utf-8"?>
<xltc:personList xmlns:xltc="http://schemas.microsoft.com/office/spreadsheetml/2018/threadedcomments">
  <xltc:person displayName="OpenAI" id="{C75E5DED-4E33-9835-A10A-6DE7F0080E29}"/>
  <xltc:person displayName="OpenAI" id="{01447C27-11D8-485A-2059-23A43D44662F}"/>
  <xltc:person displayName="OpenAI" id="{A1F8CD41-B1C0-CF66-F673-12AFDC1AC3C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7315c43d84f443b2" /><Relationship Type="http://schemas.openxmlformats.org/officeDocument/2006/relationships/vmlDrawing" Target="/xl/drawings/vmldrawing.vml" Id="Rce43fe1438ed45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4600639ae83c4ef1" /><Relationship Type="http://schemas.openxmlformats.org/officeDocument/2006/relationships/vmlDrawing" Target="/xl/drawings/vmldrawing2.vml" Id="R262754e39aca4d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fae9ac063a984011" /><Relationship Type="http://schemas.openxmlformats.org/officeDocument/2006/relationships/vmlDrawing" Target="/xl/drawings/vmldrawing3.vml" Id="Ra27230d2c59643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2" customWidth="1"/>
    <x:col min="3" max="3" width="50" customWidth="1"/>
    <x:col min="4" max="4" width="4" customWidth="1"/>
    <x:col min="5" max="5" width="28" customWidth="1"/>
    <x:col min="6" max="6" width="14" customWidth="1"/>
  </x:cols>
  <x:sheetData>
    <x:row r="1" ht="24" customHeight="1">
      <x:c r="A1" s="1" t="inlineStr">
        <x:is>
          <x:t xml:space="preserve">Local Hugging Face LLM Catalog — 100GB Unified Memory</x:t>
        </x:is>
      </x:c>
    </x:row>
    <x:row r="3">
      <x:c r="A3" s="2" t="inlineStr">
        <x:is>
          <x:t xml:space="preserve">What this workbook is</x:t>
        </x:is>
      </x:c>
    </x:row>
    <x:row r="4">
      <x:c r="A4" s="3" t="inlineStr">
        <x:is>
          <x:t xml:space="preserve">A broad catalog of official Hugging Face checkpoints and notable local-friendly families, organized by whether they should fit inside a 100GB unified-memory ceiling using a practical runtime heuristic.</x:t>
        </x:is>
      </x:c>
    </x:row>
    <x:row r="5"/>
    <x:row r="7">
      <x:c r="A7" s="4" t="inlineStr">
        <x:is>
          <x:t xml:space="preserve">Controls</x:t>
        </x:is>
      </x:c>
      <x:c r="E7" s="4" t="inlineStr">
        <x:is>
          <x:t xml:space="preserve">Catalog counts</x:t>
        </x:is>
      </x:c>
    </x:row>
    <x:row r="8">
      <x:c r="A8" s="5" t="inlineStr">
        <x:is>
          <x:t xml:space="preserve">Max unified memory (GB)</x:t>
        </x:is>
      </x:c>
      <x:c r="B8" s="6" t="n">
        <x:v>100</x:v>
      </x:c>
      <x:c r="C8" s="7" t="inlineStr">
        <x:is>
          <x:t xml:space="preserve">Used for highest-quality-fit quant selection.</x:t>
        </x:is>
      </x:c>
      <x:c r="E8" s="8" t="inlineStr">
        <x:is>
          <x:t xml:space="preserve">Fit_Catalog rows</x:t>
        </x:is>
      </x:c>
      <x:c r="F8" s="9">
        <x:f>COUNTA(Fit_Catalog!B:B)-1</x:f>
        <x:v>223</x:v>
      </x:c>
    </x:row>
    <x:row r="9">
      <x:c r="A9" s="5" t="inlineStr">
        <x:is>
          <x:t xml:space="preserve">Comfortable practical target (GB)</x:t>
        </x:is>
      </x:c>
      <x:c r="B9" s="6" t="n">
        <x:v>75</x:v>
      </x:c>
      <x:c r="C9" s="7" t="inlineStr">
        <x:is>
          <x:t xml:space="preserve">Used for fit-tier labeling.</x:t>
        </x:is>
      </x:c>
      <x:c r="E9" s="8" t="inlineStr">
        <x:is>
          <x:t xml:space="preserve">Aggressive_Quant_Only rows</x:t>
        </x:is>
      </x:c>
      <x:c r="F9" s="9">
        <x:f>COUNTA(Aggressive_Quant_Only!B:B)-1</x:f>
        <x:v>8</x:v>
      </x:c>
    </x:row>
    <x:row r="10">
      <x:c r="A10" s="5" t="inlineStr">
        <x:is>
          <x:t xml:space="preserve">Recommended balance target (GB)</x:t>
        </x:is>
      </x:c>
      <x:c r="B10" s="6" t="n">
        <x:v>90</x:v>
      </x:c>
      <x:c r="C10" s="7" t="inlineStr">
        <x:is>
          <x:t xml:space="preserve">Recommended balanced quant = highest quality at or under this limit.</x:t>
        </x:is>
      </x:c>
      <x:c r="E10" s="8" t="inlineStr">
        <x:is>
          <x:t xml:space="preserve">Excluded_Over_100GB rows</x:t>
        </x:is>
      </x:c>
      <x:c r="F10" s="9">
        <x:f>COUNTA(Excluded_Over_100GB!B:B)-1</x:f>
        <x:v>13</x:v>
      </x:c>
    </x:row>
    <x:row r="11">
      <x:c r="A11" s="5" t="inlineStr">
        <x:is>
          <x:t xml:space="preserve">Runtime overhead fraction</x:t>
        </x:is>
      </x:c>
      <x:c r="B11" s="10" t="n">
        <x:v>0.1</x:v>
      </x:c>
      <x:c r="C11" s="7" t="inlineStr">
        <x:is>
          <x:t xml:space="preserve">Extra headroom for runtime / KV / framework overhead.</x:t>
        </x:is>
      </x:c>
      <x:c r="E11" s="8" t="inlineStr">
        <x:is>
          <x:t xml:space="preserve">Total logical models cataloged</x:t>
        </x:is>
      </x:c>
      <x:c r="F11" s="9">
        <x:f>SUM(F8:F10)</x:f>
        <x:v>244</x:v>
      </x:c>
    </x:row>
    <x:row r="12">
      <x:c r="A12" s="5" t="inlineStr">
        <x:is>
          <x:t xml:space="preserve">Fixed buffer (GB)</x:t>
        </x:is>
      </x:c>
      <x:c r="B12" s="6" t="n">
        <x:v>4</x:v>
      </x:c>
      <x:c r="C12" s="7" t="inlineStr">
        <x:is>
          <x:t xml:space="preserve">Static reserve for runtime and miscellany.</x:t>
        </x:is>
      </x:c>
    </x:row>
    <x:row r="13">
      <x:c r="A13" s="5" t="inlineStr">
        <x:is>
          <x:t xml:space="preserve">Dense / unknown architecture factor</x:t>
        </x:is>
      </x:c>
      <x:c r="B13" s="11" t="n">
        <x:v>1.15</x:v>
      </x:c>
      <x:c r="C13" s="7" t="inlineStr">
        <x:is>
          <x:t xml:space="preserve">Multiplier for dense and unknown architectures.</x:t>
        </x:is>
      </x:c>
    </x:row>
    <x:row r="14">
      <x:c r="A14" s="5" t="inlineStr">
        <x:is>
          <x:t xml:space="preserve">MoE architecture factor</x:t>
        </x:is>
      </x:c>
      <x:c r="B14" s="11" t="n">
        <x:v>1.2</x:v>
      </x:c>
      <x:c r="C14" s="7" t="inlineStr">
        <x:is>
          <x:t xml:space="preserve">Slightly higher multiplier for MoE checkpoints.</x:t>
        </x:is>
      </x:c>
    </x:row>
    <x:row r="17">
      <x:c r="A17" s="4" t="inlineStr">
        <x:is>
          <x:t xml:space="preserve">Interpretation</x:t>
        </x:is>
      </x:c>
    </x:row>
    <x:row r="18">
      <x:c r="A18" s="3" t="inlineStr">
        <x:is>
          <x:t xml:space="preserve">• Highest quality quant under 100GB = the highest-quality common local quant that fits the 100GB cap under this heuristic.</x:t>
        </x:is>
      </x:c>
    </x:row>
    <x:row r="19">
      <x:c r="A19" s="3" t="inlineStr">
        <x:is>
          <x:t xml:space="preserve">• Balanced quant = the highest-quality common local quant that stays at or under the recommended balance target (90GB practical by default).</x:t>
        </x:is>
      </x:c>
    </x:row>
    <x:row r="20">
      <x:c r="A20" s="3" t="inlineStr">
        <x:is>
          <x:t xml:space="preserve">• Fit_Catalog contains models whose highest fitting quant is 4-bit or better. Aggressive_Quant_Only contains models that only fit at 3-bit or 2-bit.</x:t>
        </x:is>
      </x:c>
    </x:row>
    <x:row r="21">
      <x:c r="A21" s="3" t="inlineStr">
        <x:is>
          <x:t xml:space="preserve">• Excluded_Over_100GB contains models that do not fit under 100GB even at 2-bit under this heuristic.</x:t>
        </x:is>
      </x:c>
    </x:row>
    <x:row r="22">
      <x:c r="A22" s="3" t="inlineStr">
        <x:is>
          <x:t xml:space="preserve">• official_hf_link is the repo to source. direct_quant_hf_link is an official or widely used quant / optimized repo when confidently identified.</x:t>
        </x:is>
      </x:c>
    </x:row>
    <x:row r="23">
      <x:c r="A23" s="3" t="inlineStr">
        <x:is>
          <x:t xml:space="preserve">• family_source_url and verification_status are included but hidden by default to keep the main catalog compact.</x:t>
        </x:is>
      </x:c>
    </x:row>
    <x:row r="26">
      <x:c r="A26" s="4" t="inlineStr">
        <x:is>
          <x:t xml:space="preserve">Suggested use</x:t>
        </x:is>
      </x:c>
    </x:row>
    <x:row r="27">
      <x:c r="A27" s="3" t="inlineStr">
        <x:is>
          <x:t xml:space="preserve">Filter first by family or modality, then by access, then sort by total_params_b descending.</x:t>
        </x:is>
      </x:c>
    </x:row>
    <x:row r="28">
      <x:c r="A28" s="3" t="inlineStr">
        <x:is>
          <x:t xml:space="preserve">For Apple / unified-memory systems, balanced_quant and balanced_est_practical_gb are usually the best starting point.</x:t>
        </x:is>
      </x:c>
    </x:row>
    <x:row r="29">
      <x:c r="A29" s="3" t="inlineStr">
        <x:is>
          <x:t xml:space="preserve">For very large models, verify direct quant availability before planning downloads.</x:t>
        </x:is>
      </x:c>
    </x:row>
  </x:sheetData>
  <x:mergeCells>
    <x:mergeCell ref="A28:F28"/>
    <x:mergeCell ref="A19:F19"/>
    <x:mergeCell ref="A1:F1"/>
    <x:mergeCell ref="A23:F23"/>
    <x:mergeCell ref="A27:F27"/>
    <x:mergeCell ref="A22:F22"/>
    <x:mergeCell ref="A18:F18"/>
    <x:mergeCell ref="A20:F20"/>
    <x:mergeCell ref="A4:F5"/>
    <x:mergeCell ref="A21:F21"/>
    <x:mergeCell ref="A29:F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6" customWidth="1"/>
    <x:col min="3" max="3" width="12" customWidth="1"/>
    <x:col min="4" max="4" width="74" customWidth="1"/>
  </x:cols>
  <x:sheetData>
    <x:row r="1">
      <x:c r="A1" s="12" t="inlineStr">
        <x:is>
          <x:t xml:space="preserve">Quantization</x:t>
        </x:is>
      </x:c>
      <x:c r="B1" s="12" t="inlineStr">
        <x:is>
          <x:t xml:space="preserve">Bytes_per_param</x:t>
        </x:is>
      </x:c>
      <x:c r="C1" s="12" t="inlineStr">
        <x:is>
          <x:t xml:space="preserve">Approx_bits</x:t>
        </x:is>
      </x:c>
      <x:c r="D1" s="12" t="inlineStr">
        <x:is>
          <x:t xml:space="preserve">Typical_local_meaning</x:t>
        </x:is>
      </x:c>
    </x:row>
    <x:row r="2">
      <x:c r="A2" t="inlineStr">
        <x:is>
          <x:t xml:space="preserve">BF16/FP16</x:t>
        </x:is>
      </x:c>
      <x:c r="B2" s="13" t="n">
        <x:v>2</x:v>
      </x:c>
      <x:c r="C2" t="n">
        <x:v>16</x:v>
      </x:c>
      <x:c r="D2" s="3" t="inlineStr">
        <x:is>
          <x:t xml:space="preserve">Highest quality; realistic mostly for smaller dense models under this 100GB cap.</x:t>
        </x:is>
      </x:c>
    </x:row>
    <x:row r="3">
      <x:c r="A3" t="inlineStr">
        <x:is>
          <x:t xml:space="preserve">FP8/Q8_0/INT8</x:t>
        </x:is>
      </x:c>
      <x:c r="B3" s="13" t="n">
        <x:v>1</x:v>
      </x:c>
      <x:c r="C3" t="n">
        <x:v>8</x:v>
      </x:c>
      <x:c r="D3" s="3" t="inlineStr">
        <x:is>
          <x:t xml:space="preserve">High quality with much lower memory use.</x:t>
        </x:is>
      </x:c>
    </x:row>
    <x:row r="4">
      <x:c r="A4" t="inlineStr">
        <x:is>
          <x:t xml:space="preserve">Q6_K/6-bit</x:t>
        </x:is>
      </x:c>
      <x:c r="B4" s="13" t="n">
        <x:v>0.75</x:v>
      </x:c>
      <x:c r="C4" t="n">
        <x:v>6</x:v>
      </x:c>
      <x:c r="D4" s="3" t="inlineStr">
        <x:is>
          <x:t xml:space="preserve">Strong quality / size tradeoff for many 70B-class models.</x:t>
        </x:is>
      </x:c>
    </x:row>
    <x:row r="5">
      <x:c r="A5" t="inlineStr">
        <x:is>
          <x:t xml:space="preserve">Q5_K_M/5-bit</x:t>
        </x:is>
      </x:c>
      <x:c r="B5" s="13" t="n">
        <x:v>0.625</x:v>
      </x:c>
      <x:c r="C5" t="n">
        <x:v>5</x:v>
      </x:c>
      <x:c r="D5" s="3" t="inlineStr">
        <x:is>
          <x:t xml:space="preserve">Often the sweet spot for roughly 70B-120B dense or MoE checkpoints.</x:t>
        </x:is>
      </x:c>
    </x:row>
    <x:row r="6">
      <x:c r="A6" t="inlineStr">
        <x:is>
          <x:t xml:space="preserve">Q4_K_M/4-bit</x:t>
        </x:is>
      </x:c>
      <x:c r="B6" s="13" t="n">
        <x:v>0.5</x:v>
      </x:c>
      <x:c r="C6" t="n">
        <x:v>4</x:v>
      </x:c>
      <x:c r="D6" s="3" t="inlineStr">
        <x:is>
          <x:t xml:space="preserve">Common local default for bigger checkpoints.</x:t>
        </x:is>
      </x:c>
    </x:row>
    <x:row r="7">
      <x:c r="A7" t="inlineStr">
        <x:is>
          <x:t xml:space="preserve">Q3_K_M/3-bit</x:t>
        </x:is>
      </x:c>
      <x:c r="B7" s="13" t="n">
        <x:v>0.375</x:v>
      </x:c>
      <x:c r="C7" t="n">
        <x:v>3</x:v>
      </x:c>
      <x:c r="D7" s="3" t="inlineStr">
        <x:is>
          <x:t xml:space="preserve">Aggressive; usually used only when 4-bit does not fit.</x:t>
        </x:is>
      </x:c>
    </x:row>
    <x:row r="8">
      <x:c r="A8" t="inlineStr">
        <x:is>
          <x:t xml:space="preserve">Q2_K/2-bit</x:t>
        </x:is>
      </x:c>
      <x:c r="B8" s="13" t="n">
        <x:v>0.25</x:v>
      </x:c>
      <x:c r="C8" t="n">
        <x:v>2</x:v>
      </x:c>
      <x:c r="D8" s="3" t="inlineStr">
        <x:is>
          <x:t xml:space="preserve">Experimental only; quality loss is substantial.</x:t>
        </x:is>
      </x:c>
    </x:row>
    <x:row r="9">
      <x:c r="A9" t="inlineStr">
        <x:is>
          <x:t xml:space="preserve">NO FIT</x:t>
        </x:is>
      </x:c>
      <x:c r="B9" s="13" t="n">
        <x:v>99</x:v>
      </x:c>
      <x:c r="C9" t="inlineStr">
        <x:is>
          <x:t xml:space="preserve"/>
        </x:is>
      </x:c>
      <x:c r="D9" s="3" t="inlineStr">
        <x:is>
          <x:t xml:space="preserve">Does not fit the configured 100GB cap in this heuristic.</x:t>
        </x:is>
      </x:c>
    </x:row>
  </x: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44" customWidth="1"/>
    <x:col min="3" max="3" width="28" customWidth="1"/>
    <x:col min="4" max="4" width="12" customWidth="1"/>
    <x:col min="5" max="5" width="12" customWidth="1"/>
    <x:col min="6" max="6" width="18" customWidth="1"/>
    <x:col min="7" max="7" width="14" customWidth="1"/>
    <x:col min="8" max="8" width="12" customWidth="1"/>
    <x:col min="9" max="9" width="12" customWidth="1"/>
    <x:col min="10" max="10" width="18" customWidth="1"/>
    <x:col min="11" max="11" width="38" customWidth="1"/>
    <x:col min="12" max="12" width="38" customWidth="1"/>
    <x:col min="13" max="13" width="22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40" customWidth="1"/>
    <x:col min="19" max="19" width="20" hidden="1" customWidth="1"/>
    <x:col min="20" max="20" width="36" hidden="1" customWidth="1"/>
    <x:col min="21" max="21" width="26" hidden="1" customWidth="1"/>
    <x:col min="22" max="22" width="12" hidden="1" customWidth="1"/>
    <x:col min="23" max="23" width="12" hidden="1" customWidth="1"/>
    <x:col min="24" max="24" width="12" hidden="1" customWidth="1"/>
    <x:col min="25" max="25" width="12" hidden="1" customWidth="1"/>
    <x:col min="26" max="26" width="12" hidden="1" customWidth="1"/>
    <x:col min="27" max="27" width="12" hidden="1" customWidth="1"/>
    <x:col min="28" max="28" width="12" hidden="1" customWidth="1"/>
  </x:cols>
  <x:sheetData>
    <x:row r="1">
      <x:c s="12" r="A1" t="inlineStr">
        <x:is>
          <x:t xml:space="preserve">family</x:t>
        </x:is>
      </x:c>
      <x:c s="12" r="B1" t="inlineStr">
        <x:is>
          <x:t xml:space="preserve">model_id</x:t>
        </x:is>
      </x:c>
      <x:c s="12" r="C1" t="inlineStr">
        <x:is>
          <x:t xml:space="preserve">model_name</x:t>
        </x:is>
      </x:c>
      <x:c s="12" r="D1" t="inlineStr">
        <x:is>
          <x:t xml:space="preserve">total_params_b</x:t>
        </x:is>
      </x:c>
      <x:c s="12" r="E1" t="inlineStr">
        <x:is>
          <x:t xml:space="preserve">active_params_b</x:t>
        </x:is>
      </x:c>
      <x:c s="12" r="F1" t="inlineStr">
        <x:is>
          <x:t xml:space="preserve">primary_use</x:t>
        </x:is>
      </x:c>
      <x:c s="12" r="G1" t="inlineStr">
        <x:is>
          <x:t xml:space="preserve">modality</x:t>
        </x:is>
      </x:c>
      <x:c s="12" r="H1" t="inlineStr">
        <x:is>
          <x:t xml:space="preserve">variant</x:t>
        </x:is>
      </x:c>
      <x:c s="12" r="I1" t="inlineStr">
        <x:is>
          <x:t xml:space="preserve">architecture</x:t>
        </x:is>
      </x:c>
      <x:c s="12" r="J1" t="inlineStr">
        <x:is>
          <x:t xml:space="preserve">access</x:t>
        </x:is>
      </x:c>
      <x:c s="12" r="K1" t="inlineStr">
        <x:is>
          <x:t xml:space="preserve">official_hf_link</x:t>
        </x:is>
      </x:c>
      <x:c s="12" r="L1" t="inlineStr">
        <x:is>
          <x:t xml:space="preserve">direct_quant_hf_link</x:t>
        </x:is>
      </x:c>
      <x:c s="12" r="M1" t="inlineStr">
        <x:is>
          <x:t xml:space="preserve">highest_quality_quant_under_100gb</x:t>
        </x:is>
      </x:c>
      <x:c s="12" r="N1" t="inlineStr">
        <x:is>
          <x:t xml:space="preserve">highest_est_practical_gb</x:t>
        </x:is>
      </x:c>
      <x:c s="12" r="O1" t="inlineStr">
        <x:is>
          <x:t xml:space="preserve">balanced_quant</x:t>
        </x:is>
      </x:c>
      <x:c s="12" r="P1" t="inlineStr">
        <x:is>
          <x:t xml:space="preserve">balanced_est_practical_gb</x:t>
        </x:is>
      </x:c>
      <x:c s="12" r="Q1" t="inlineStr">
        <x:is>
          <x:t xml:space="preserve">fit_tier</x:t>
        </x:is>
      </x:c>
      <x:c s="12" r="R1" t="inlineStr">
        <x:is>
          <x:t xml:space="preserve">notes</x:t>
        </x:is>
      </x:c>
      <x:c s="12" r="S1" t="inlineStr">
        <x:is>
          <x:t xml:space="preserve">verification_status</x:t>
        </x:is>
      </x:c>
      <x:c s="12" r="T1" t="inlineStr">
        <x:is>
          <x:t xml:space="preserve">family_source_url</x:t>
        </x:is>
      </x:c>
      <x:c s="12" r="U1" t="inlineStr">
        <x:is>
          <x:t xml:space="preserve">common_local_formats</x:t>
        </x:is>
      </x:c>
      <x:c s="12" r="V1" t="inlineStr">
        <x:is>
          <x:t xml:space="preserve">bf16_mem</x:t>
        </x:is>
      </x:c>
      <x:c s="12" r="W1" t="inlineStr">
        <x:is>
          <x:t xml:space="preserve">q8_mem</x:t>
        </x:is>
      </x:c>
      <x:c s="12" r="X1" t="inlineStr">
        <x:is>
          <x:t xml:space="preserve">q6_mem</x:t>
        </x:is>
      </x:c>
      <x:c s="12" r="Y1" t="inlineStr">
        <x:is>
          <x:t xml:space="preserve">q5_mem</x:t>
        </x:is>
      </x:c>
      <x:c s="12" r="Z1" t="inlineStr">
        <x:is>
          <x:t xml:space="preserve">q4_mem</x:t>
        </x:is>
      </x:c>
      <x:c s="12" r="AA1" t="inlineStr">
        <x:is>
          <x:t xml:space="preserve">q3_mem</x:t>
        </x:is>
      </x:c>
      <x:c s="12" r="AB1" t="inlineStr">
        <x:is>
          <x:t xml:space="preserve">q2_mem</x:t>
        </x:is>
      </x:c>
    </x:row>
    <x:row r="2">
      <x:c r="A2" t="inlineStr">
        <x:is>
          <x:t xml:space="preserve">Cohere / Aya</x:t>
        </x:is>
      </x:c>
      <x:c s="14" r="B2" t="inlineStr">
        <x:is>
          <x:t xml:space="preserve">CohereLabs/command-a-reasoning-08-2025</x:t>
        </x:is>
      </x:c>
      <x:c s="14" r="C2" t="inlineStr">
        <x:is>
          <x:t xml:space="preserve">command-a-reasoning-08-2025</x:t>
        </x:is>
      </x:c>
      <x:c s="15" r="D2" t="n">
        <x:v>111</x:v>
      </x:c>
      <x:c s="15" r="E2"/>
      <x:c s="14" r="F2" t="inlineStr">
        <x:is>
          <x:t xml:space="preserve">reasoning</x:t>
        </x:is>
      </x:c>
      <x:c s="14" r="G2" t="inlineStr">
        <x:is>
          <x:t xml:space="preserve">text</x:t>
        </x:is>
      </x:c>
      <x:c r="H2" t="inlineStr">
        <x:is>
          <x:t xml:space="preserve">reasoning</x:t>
        </x:is>
      </x:c>
      <x:c r="I2" t="inlineStr">
        <x:is>
          <x:t xml:space="preserve">Dense</x:t>
        </x:is>
      </x:c>
      <x:c s="16" r="J2" t="inlineStr">
        <x:is>
          <x:t xml:space="preserve">gated/license</x:t>
        </x:is>
      </x:c>
      <x:c s="17" r="K2" t="inlineStr">
        <x:is>
          <x:t xml:space="preserve">https://huggingface.co/CohereLabs/command-a-reasoning-08-2025</x:t>
        </x:is>
      </x:c>
      <x:c s="17" r="L2" t="inlineStr">
        <x:is>
          <x:t xml:space="preserve">https://huggingface.co/bartowski/CohereLabs_command-a-reasoning-08-2025-GGUF</x:t>
        </x:is>
      </x:c>
      <x:c s="14" r="M2" t="inlineStr">
        <x:is>
          <x:t xml:space="preserve">Q5_K_M/5-bit</x:t>
        </x:is>
      </x:c>
      <x:c s="15" r="N2" t="n">
        <x:v>91.8</x:v>
      </x:c>
      <x:c s="14" r="O2" t="inlineStr">
        <x:is>
          <x:t xml:space="preserve">Q4_K_M/4-bit</x:t>
        </x:is>
      </x:c>
      <x:c s="15" r="P2" t="n">
        <x:v>74.2</x:v>
      </x:c>
      <x:c s="14" r="Q2" t="inlineStr">
        <x:is>
          <x:t xml:space="preserve">Comfortable</x:t>
        </x:is>
      </x:c>
      <x:c s="18" r="R2" t="inlineStr">
        <x:is>
          <x:t xml:space="preserve">Large reasoning model.</x:t>
        </x:is>
      </x:c>
      <x:c s="14" r="S2" t="inlineStr">
        <x:is>
          <x:t xml:space="preserve">current_repo_page_2026-03-27</x:t>
        </x:is>
      </x:c>
      <x:c s="17" r="T2" t="inlineStr">
        <x:is>
          <x:t xml:space="preserve">https://huggingface.co/CohereLabs</x:t>
        </x:is>
      </x:c>
      <x:c s="14" r="U2" t="inlineStr">
        <x:is>
          <x:t xml:space="preserve">Transformers; community GGUF/MLX</x:t>
        </x:is>
      </x:c>
      <x:c s="15" r="V2" t="n">
        <x:v>284.8</x:v>
      </x:c>
      <x:c s="15" r="W2" t="n">
        <x:v>144.4</x:v>
      </x:c>
      <x:c s="15" r="X2" t="n">
        <x:v>109.3</x:v>
      </x:c>
      <x:c s="15" r="Y2" t="n">
        <x:v>91.8</x:v>
      </x:c>
      <x:c s="15" r="Z2" t="n">
        <x:v>74.2</x:v>
      </x:c>
      <x:c s="15" r="AA2" t="n">
        <x:v>56.7</x:v>
      </x:c>
      <x:c s="15" r="AB2" t="n">
        <x:v>39.1</x:v>
      </x:c>
    </x:row>
    <x:row r="3">
      <x:c r="A3" t="inlineStr">
        <x:is>
          <x:t xml:space="preserve">Cohere / Aya</x:t>
        </x:is>
      </x:c>
      <x:c s="14" r="B3" t="inlineStr">
        <x:is>
          <x:t xml:space="preserve">CohereLabs/c4ai-command-r-plus</x:t>
        </x:is>
      </x:c>
      <x:c s="14" r="C3" t="inlineStr">
        <x:is>
          <x:t xml:space="preserve">c4ai-command-r-plus</x:t>
        </x:is>
      </x:c>
      <x:c s="15" r="D3" t="n">
        <x:v>104</x:v>
      </x:c>
      <x:c s="15" r="E3"/>
      <x:c s="14" r="F3" t="inlineStr">
        <x:is>
          <x:t xml:space="preserve">general chat / RAG</x:t>
        </x:is>
      </x:c>
      <x:c s="14" r="G3" t="inlineStr">
        <x:is>
          <x:t xml:space="preserve">text</x:t>
        </x:is>
      </x:c>
      <x:c r="H3" t="inlineStr">
        <x:is>
          <x:t xml:space="preserve">chat</x:t>
        </x:is>
      </x:c>
      <x:c r="I3" t="inlineStr">
        <x:is>
          <x:t xml:space="preserve">Dense</x:t>
        </x:is>
      </x:c>
      <x:c s="16" r="J3" t="inlineStr">
        <x:is>
          <x:t xml:space="preserve">gated/license</x:t>
        </x:is>
      </x:c>
      <x:c s="17" r="K3" t="inlineStr">
        <x:is>
          <x:t xml:space="preserve">https://huggingface.co/CohereLabs/c4ai-command-r-plus</x:t>
        </x:is>
      </x:c>
      <x:c s="17" r="L3" t="inlineStr">
        <x:is>
          <x:t xml:space="preserve"/>
        </x:is>
      </x:c>
      <x:c s="14" r="M3" t="inlineStr">
        <x:is>
          <x:t xml:space="preserve">Q5_K_M/5-bit</x:t>
        </x:is>
      </x:c>
      <x:c s="15" r="N3" t="n">
        <x:v>86.2</x:v>
      </x:c>
      <x:c s="14" r="O3" t="inlineStr">
        <x:is>
          <x:t xml:space="preserve">Q5_K_M/5-bit</x:t>
        </x:is>
      </x:c>
      <x:c s="15" r="P3" t="n">
        <x:v>86.2</x:v>
      </x:c>
      <x:c s="14" r="Q3" t="inlineStr">
        <x:is>
          <x:t xml:space="preserve">Near limit</x:t>
        </x:is>
      </x:c>
      <x:c s="18" r="R3" t="inlineStr">
        <x:is>
          <x:t xml:space="preserve">Large Command R+ model.</x:t>
        </x:is>
      </x:c>
      <x:c s="14" r="S3" t="inlineStr">
        <x:is>
          <x:t xml:space="preserve">current_repo_page_2026-03-27</x:t>
        </x:is>
      </x:c>
      <x:c s="17" r="T3" t="inlineStr">
        <x:is>
          <x:t xml:space="preserve">https://huggingface.co/CohereLabs</x:t>
        </x:is>
      </x:c>
      <x:c s="14" r="U3" t="inlineStr">
        <x:is>
          <x:t xml:space="preserve">Transformers; community GGUF/MLX</x:t>
        </x:is>
      </x:c>
      <x:c s="15" r="V3" t="n">
        <x:v>267.1</x:v>
      </x:c>
      <x:c s="15" r="W3" t="n">
        <x:v>135.6</x:v>
      </x:c>
      <x:c s="15" r="X3" t="n">
        <x:v>102.7</x:v>
      </x:c>
      <x:c s="15" r="Y3" t="n">
        <x:v>86.2</x:v>
      </x:c>
      <x:c s="15" r="Z3" t="n">
        <x:v>69.8</x:v>
      </x:c>
      <x:c s="15" r="AA3" t="n">
        <x:v>53.3</x:v>
      </x:c>
      <x:c s="15" r="AB3" t="n">
        <x:v>36.9</x:v>
      </x:c>
    </x:row>
    <x:row r="4">
      <x:c r="A4" t="inlineStr">
        <x:is>
          <x:t xml:space="preserve">Cohere / Aya</x:t>
        </x:is>
      </x:c>
      <x:c s="14" r="B4" t="inlineStr">
        <x:is>
          <x:t xml:space="preserve">CohereLabs/c4ai-command-r-plus-08-2024</x:t>
        </x:is>
      </x:c>
      <x:c s="14" r="C4" t="inlineStr">
        <x:is>
          <x:t xml:space="preserve">c4ai-command-r-plus-08-2024</x:t>
        </x:is>
      </x:c>
      <x:c s="15" r="D4" t="n">
        <x:v>104</x:v>
      </x:c>
      <x:c s="15" r="E4"/>
      <x:c s="14" r="F4" t="inlineStr">
        <x:is>
          <x:t xml:space="preserve">general chat / RAG</x:t>
        </x:is>
      </x:c>
      <x:c s="14" r="G4" t="inlineStr">
        <x:is>
          <x:t xml:space="preserve">text</x:t>
        </x:is>
      </x:c>
      <x:c r="H4" t="inlineStr">
        <x:is>
          <x:t xml:space="preserve">chat</x:t>
        </x:is>
      </x:c>
      <x:c r="I4" t="inlineStr">
        <x:is>
          <x:t xml:space="preserve">Dense</x:t>
        </x:is>
      </x:c>
      <x:c s="16" r="J4" t="inlineStr">
        <x:is>
          <x:t xml:space="preserve">gated/license</x:t>
        </x:is>
      </x:c>
      <x:c s="17" r="K4" t="inlineStr">
        <x:is>
          <x:t xml:space="preserve">https://huggingface.co/CohereLabs/c4ai-command-r-plus-08-2024</x:t>
        </x:is>
      </x:c>
      <x:c s="17" r="L4" t="inlineStr">
        <x:is>
          <x:t xml:space="preserve"/>
        </x:is>
      </x:c>
      <x:c s="14" r="M4" t="inlineStr">
        <x:is>
          <x:t xml:space="preserve">Q5_K_M/5-bit</x:t>
        </x:is>
      </x:c>
      <x:c s="15" r="N4" t="n">
        <x:v>86.2</x:v>
      </x:c>
      <x:c s="14" r="O4" t="inlineStr">
        <x:is>
          <x:t xml:space="preserve">Q5_K_M/5-bit</x:t>
        </x:is>
      </x:c>
      <x:c s="15" r="P4" t="n">
        <x:v>86.2</x:v>
      </x:c>
      <x:c s="14" r="Q4" t="inlineStr">
        <x:is>
          <x:t xml:space="preserve">Near limit</x:t>
        </x:is>
      </x:c>
      <x:c s="18" r="R4" t="inlineStr">
        <x:is>
          <x:t xml:space="preserve">Large Command R+ refresh.</x:t>
        </x:is>
      </x:c>
      <x:c s="14" r="S4" t="inlineStr">
        <x:is>
          <x:t xml:space="preserve">current_repo_page_2026-03-27</x:t>
        </x:is>
      </x:c>
      <x:c s="17" r="T4" t="inlineStr">
        <x:is>
          <x:t xml:space="preserve">https://huggingface.co/CohereLabs</x:t>
        </x:is>
      </x:c>
      <x:c s="14" r="U4" t="inlineStr">
        <x:is>
          <x:t xml:space="preserve">Transformers; community GGUF/MLX</x:t>
        </x:is>
      </x:c>
      <x:c s="15" r="V4" t="n">
        <x:v>267.1</x:v>
      </x:c>
      <x:c s="15" r="W4" t="n">
        <x:v>135.6</x:v>
      </x:c>
      <x:c s="15" r="X4" t="n">
        <x:v>102.7</x:v>
      </x:c>
      <x:c s="15" r="Y4" t="n">
        <x:v>86.2</x:v>
      </x:c>
      <x:c s="15" r="Z4" t="n">
        <x:v>69.8</x:v>
      </x:c>
      <x:c s="15" r="AA4" t="n">
        <x:v>53.3</x:v>
      </x:c>
      <x:c s="15" r="AB4" t="n">
        <x:v>36.9</x:v>
      </x:c>
    </x:row>
    <x:row r="5">
      <x:c r="A5" t="inlineStr">
        <x:is>
          <x:t xml:space="preserve">Cohere / Aya</x:t>
        </x:is>
      </x:c>
      <x:c s="14" r="B5" t="inlineStr">
        <x:is>
          <x:t xml:space="preserve">CohereLabs/c4ai-command-r-v01</x:t>
        </x:is>
      </x:c>
      <x:c s="14" r="C5" t="inlineStr">
        <x:is>
          <x:t xml:space="preserve">c4ai-command-r-v01</x:t>
        </x:is>
      </x:c>
      <x:c s="15" r="D5" t="n">
        <x:v>35</x:v>
      </x:c>
      <x:c s="15" r="E5"/>
      <x:c s="14" r="F5" t="inlineStr">
        <x:is>
          <x:t xml:space="preserve">general chat / RAG</x:t>
        </x:is>
      </x:c>
      <x:c s="14" r="G5" t="inlineStr">
        <x:is>
          <x:t xml:space="preserve">text</x:t>
        </x:is>
      </x:c>
      <x:c r="H5" t="inlineStr">
        <x:is>
          <x:t xml:space="preserve">chat</x:t>
        </x:is>
      </x:c>
      <x:c r="I5" t="inlineStr">
        <x:is>
          <x:t xml:space="preserve">Dense</x:t>
        </x:is>
      </x:c>
      <x:c s="16" r="J5" t="inlineStr">
        <x:is>
          <x:t xml:space="preserve">gated/license</x:t>
        </x:is>
      </x:c>
      <x:c s="17" r="K5" t="inlineStr">
        <x:is>
          <x:t xml:space="preserve">https://huggingface.co/CohereLabs/c4ai-command-r-v01</x:t>
        </x:is>
      </x:c>
      <x:c s="17" r="L5" t="inlineStr">
        <x:is>
          <x:t xml:space="preserve"/>
        </x:is>
      </x:c>
      <x:c s="14" r="M5" t="inlineStr">
        <x:is>
          <x:t xml:space="preserve">BF16/FP16</x:t>
        </x:is>
      </x:c>
      <x:c s="15" r="N5" t="n">
        <x:v>92.6</x:v>
      </x:c>
      <x:c s="14" r="O5" t="inlineStr">
        <x:is>
          <x:t xml:space="preserve">FP8/Q8_0/INT8</x:t>
        </x:is>
      </x:c>
      <x:c s="15" r="P5" t="n">
        <x:v>48.3</x:v>
      </x:c>
      <x:c s="14" r="Q5" t="inlineStr">
        <x:is>
          <x:t xml:space="preserve">Comfortable</x:t>
        </x:is>
      </x:c>
      <x:c s="18" r="R5" t="inlineStr">
        <x:is>
          <x:t xml:space="preserve">35B Command R v01.</x:t>
        </x:is>
      </x:c>
      <x:c s="14" r="S5" t="inlineStr">
        <x:is>
          <x:t xml:space="preserve">current_repo_page_2026-03-27</x:t>
        </x:is>
      </x:c>
      <x:c s="17" r="T5" t="inlineStr">
        <x:is>
          <x:t xml:space="preserve">https://huggingface.co/CohereLabs</x:t>
        </x:is>
      </x:c>
      <x:c s="14" r="U5" t="inlineStr">
        <x:is>
          <x:t xml:space="preserve">Transformers; community GGUF/MLX</x:t>
        </x:is>
      </x:c>
      <x:c s="15" r="V5" t="n">
        <x:v>92.6</x:v>
      </x:c>
      <x:c s="15" r="W5" t="n">
        <x:v>48.3</x:v>
      </x:c>
      <x:c s="15" r="X5" t="n">
        <x:v>37.2</x:v>
      </x:c>
      <x:c s="15" r="Y5" t="n">
        <x:v>31.7</x:v>
      </x:c>
      <x:c s="15" r="Z5" t="n">
        <x:v>26.1</x:v>
      </x:c>
      <x:c s="15" r="AA5" t="n">
        <x:v>20.6</x:v>
      </x:c>
      <x:c s="15" r="AB5" t="n">
        <x:v>15.1</x:v>
      </x:c>
    </x:row>
    <x:row r="6">
      <x:c r="A6" t="inlineStr">
        <x:is>
          <x:t xml:space="preserve">Cohere / Aya</x:t>
        </x:is>
      </x:c>
      <x:c s="14" r="B6" t="inlineStr">
        <x:is>
          <x:t xml:space="preserve">CohereLabs/aya-expanse-32b</x:t>
        </x:is>
      </x:c>
      <x:c s="14" r="C6" t="inlineStr">
        <x:is>
          <x:t xml:space="preserve">aya-expanse-32b</x:t>
        </x:is>
      </x:c>
      <x:c s="15" r="D6" t="n">
        <x:v>32</x:v>
      </x:c>
      <x:c s="15" r="E6"/>
      <x:c s="14" r="F6" t="inlineStr">
        <x:is>
          <x:t xml:space="preserve">multilingual chat</x:t>
        </x:is>
      </x:c>
      <x:c s="14" r="G6" t="inlineStr">
        <x:is>
          <x:t xml:space="preserve">text</x:t>
        </x:is>
      </x:c>
      <x:c r="H6" t="inlineStr">
        <x:is>
          <x:t xml:space="preserve">instruct</x:t>
        </x:is>
      </x:c>
      <x:c r="I6" t="inlineStr">
        <x:is>
          <x:t xml:space="preserve">Dense</x:t>
        </x:is>
      </x:c>
      <x:c s="16" r="J6" t="inlineStr">
        <x:is>
          <x:t xml:space="preserve">open</x:t>
        </x:is>
      </x:c>
      <x:c s="17" r="K6" t="inlineStr">
        <x:is>
          <x:t xml:space="preserve">https://huggingface.co/CohereLabs/aya-expanse-32b</x:t>
        </x:is>
      </x:c>
      <x:c s="17" r="L6" t="inlineStr">
        <x:is>
          <x:t xml:space="preserve">https://huggingface.co/bartowski/aya-expanse-32b-GGUF</x:t>
        </x:is>
      </x:c>
      <x:c s="14" r="M6" t="inlineStr">
        <x:is>
          <x:t xml:space="preserve">BF16/FP16</x:t>
        </x:is>
      </x:c>
      <x:c s="15" r="N6" t="n">
        <x:v>85</x:v>
      </x:c>
      <x:c s="14" r="O6" t="inlineStr">
        <x:is>
          <x:t xml:space="preserve">BF16/FP16</x:t>
        </x:is>
      </x:c>
      <x:c s="15" r="P6" t="n">
        <x:v>85</x:v>
      </x:c>
      <x:c s="14" r="Q6" t="inlineStr">
        <x:is>
          <x:t xml:space="preserve">Near limit</x:t>
        </x:is>
      </x:c>
      <x:c s="18" r="R6" t="inlineStr">
        <x:is>
          <x:t xml:space="preserve">Open multilingual Aya model.</x:t>
        </x:is>
      </x:c>
      <x:c s="14" r="S6" t="inlineStr">
        <x:is>
          <x:t xml:space="preserve">current_repo_page_2026-03-27</x:t>
        </x:is>
      </x:c>
      <x:c s="17" r="T6" t="inlineStr">
        <x:is>
          <x:t xml:space="preserve">https://huggingface.co/CohereLabs</x:t>
        </x:is>
      </x:c>
      <x:c s="14" r="U6" t="inlineStr">
        <x:is>
          <x:t xml:space="preserve">Transformers; community GGUF/MLX</x:t>
        </x:is>
      </x:c>
      <x:c s="15" r="V6" t="n">
        <x:v>85</x:v>
      </x:c>
      <x:c s="15" r="W6" t="n">
        <x:v>44.5</x:v>
      </x:c>
      <x:c s="15" r="X6" t="n">
        <x:v>34.4</x:v>
      </x:c>
      <x:c s="15" r="Y6" t="n">
        <x:v>29.3</x:v>
      </x:c>
      <x:c s="15" r="Z6" t="n">
        <x:v>24.2</x:v>
      </x:c>
      <x:c s="15" r="AA6" t="n">
        <x:v>19.2</x:v>
      </x:c>
      <x:c s="15" r="AB6" t="n">
        <x:v>14.1</x:v>
      </x:c>
    </x:row>
    <x:row r="7">
      <x:c r="A7" t="inlineStr">
        <x:is>
          <x:t xml:space="preserve">Cohere / Aya</x:t>
        </x:is>
      </x:c>
      <x:c s="14" r="B7" t="inlineStr">
        <x:is>
          <x:t xml:space="preserve">CohereLabs/aya-vision-32b</x:t>
        </x:is>
      </x:c>
      <x:c s="14" r="C7" t="inlineStr">
        <x:is>
          <x:t xml:space="preserve">aya-vision-32b</x:t>
        </x:is>
      </x:c>
      <x:c s="15" r="D7" t="n">
        <x:v>32</x:v>
      </x:c>
      <x:c s="15" r="E7"/>
      <x:c s="14" r="F7" t="inlineStr">
        <x:is>
          <x:t xml:space="preserve">multimodal multilingual</x:t>
        </x:is>
      </x:c>
      <x:c s="14" r="G7" t="inlineStr">
        <x:is>
          <x:t xml:space="preserve">text+vision</x:t>
        </x:is>
      </x:c>
      <x:c r="H7" t="inlineStr">
        <x:is>
          <x:t xml:space="preserve">instruct</x:t>
        </x:is>
      </x:c>
      <x:c r="I7" t="inlineStr">
        <x:is>
          <x:t xml:space="preserve">Dense</x:t>
        </x:is>
      </x:c>
      <x:c s="16" r="J7" t="inlineStr">
        <x:is>
          <x:t xml:space="preserve">gated/non-commercial</x:t>
        </x:is>
      </x:c>
      <x:c s="17" r="K7" t="inlineStr">
        <x:is>
          <x:t xml:space="preserve">https://huggingface.co/CohereLabs/aya-vision-32b</x:t>
        </x:is>
      </x:c>
      <x:c s="17" r="L7" t="inlineStr">
        <x:is>
          <x:t xml:space="preserve"/>
        </x:is>
      </x:c>
      <x:c s="14" r="M7" t="inlineStr">
        <x:is>
          <x:t xml:space="preserve">BF16/FP16</x:t>
        </x:is>
      </x:c>
      <x:c s="15" r="N7" t="n">
        <x:v>85</x:v>
      </x:c>
      <x:c s="14" r="O7" t="inlineStr">
        <x:is>
          <x:t xml:space="preserve">BF16/FP16</x:t>
        </x:is>
      </x:c>
      <x:c s="15" r="P7" t="n">
        <x:v>85</x:v>
      </x:c>
      <x:c s="14" r="Q7" t="inlineStr">
        <x:is>
          <x:t xml:space="preserve">Near limit</x:t>
        </x:is>
      </x:c>
      <x:c s="18" r="R7" t="inlineStr">
        <x:is>
          <x:t xml:space="preserve">Vision-language Aya model.</x:t>
        </x:is>
      </x:c>
      <x:c s="14" r="S7" t="inlineStr">
        <x:is>
          <x:t xml:space="preserve">current_repo_page_2026-03-27</x:t>
        </x:is>
      </x:c>
      <x:c s="17" r="T7" t="inlineStr">
        <x:is>
          <x:t xml:space="preserve">https://huggingface.co/CohereLabs</x:t>
        </x:is>
      </x:c>
      <x:c s="14" r="U7" t="inlineStr">
        <x:is>
          <x:t xml:space="preserve">Transformers; community GGUF/MLX</x:t>
        </x:is>
      </x:c>
      <x:c s="15" r="V7" t="n">
        <x:v>85</x:v>
      </x:c>
      <x:c s="15" r="W7" t="n">
        <x:v>44.5</x:v>
      </x:c>
      <x:c s="15" r="X7" t="n">
        <x:v>34.4</x:v>
      </x:c>
      <x:c s="15" r="Y7" t="n">
        <x:v>29.3</x:v>
      </x:c>
      <x:c s="15" r="Z7" t="n">
        <x:v>24.2</x:v>
      </x:c>
      <x:c s="15" r="AA7" t="n">
        <x:v>19.2</x:v>
      </x:c>
      <x:c s="15" r="AB7" t="n">
        <x:v>14.1</x:v>
      </x:c>
    </x:row>
    <x:row r="8">
      <x:c r="A8" t="inlineStr">
        <x:is>
          <x:t xml:space="preserve">Cohere / Aya</x:t>
        </x:is>
      </x:c>
      <x:c s="14" r="B8" t="inlineStr">
        <x:is>
          <x:t xml:space="preserve">CohereLabs/c4ai-command-r-08-2024</x:t>
        </x:is>
      </x:c>
      <x:c s="14" r="C8" t="inlineStr">
        <x:is>
          <x:t xml:space="preserve">c4ai-command-r-08-2024</x:t>
        </x:is>
      </x:c>
      <x:c s="15" r="D8" t="n">
        <x:v>32</x:v>
      </x:c>
      <x:c s="15" r="E8"/>
      <x:c s="14" r="F8" t="inlineStr">
        <x:is>
          <x:t xml:space="preserve">general chat / RAG</x:t>
        </x:is>
      </x:c>
      <x:c s="14" r="G8" t="inlineStr">
        <x:is>
          <x:t xml:space="preserve">text</x:t>
        </x:is>
      </x:c>
      <x:c r="H8" t="inlineStr">
        <x:is>
          <x:t xml:space="preserve">chat</x:t>
        </x:is>
      </x:c>
      <x:c r="I8" t="inlineStr">
        <x:is>
          <x:t xml:space="preserve">Dense</x:t>
        </x:is>
      </x:c>
      <x:c s="16" r="J8" t="inlineStr">
        <x:is>
          <x:t xml:space="preserve">gated/license</x:t>
        </x:is>
      </x:c>
      <x:c s="17" r="K8" t="inlineStr">
        <x:is>
          <x:t xml:space="preserve">https://huggingface.co/CohereLabs/c4ai-command-r-08-2024</x:t>
        </x:is>
      </x:c>
      <x:c s="17" r="L8" t="inlineStr">
        <x:is>
          <x:t xml:space="preserve">https://huggingface.co/bartowski/c4ai-command-r-08-2024-GGUF</x:t>
        </x:is>
      </x:c>
      <x:c s="14" r="M8" t="inlineStr">
        <x:is>
          <x:t xml:space="preserve">BF16/FP16</x:t>
        </x:is>
      </x:c>
      <x:c s="15" r="N8" t="n">
        <x:v>85</x:v>
      </x:c>
      <x:c s="14" r="O8" t="inlineStr">
        <x:is>
          <x:t xml:space="preserve">BF16/FP16</x:t>
        </x:is>
      </x:c>
      <x:c s="15" r="P8" t="n">
        <x:v>85</x:v>
      </x:c>
      <x:c s="14" r="Q8" t="inlineStr">
        <x:is>
          <x:t xml:space="preserve">Near limit</x:t>
        </x:is>
      </x:c>
      <x:c s="18" r="R8" t="inlineStr">
        <x:is>
          <x:t xml:space="preserve">32B Command R refresh.</x:t>
        </x:is>
      </x:c>
      <x:c s="14" r="S8" t="inlineStr">
        <x:is>
          <x:t xml:space="preserve">current_repo_page_2026-03-27</x:t>
        </x:is>
      </x:c>
      <x:c s="17" r="T8" t="inlineStr">
        <x:is>
          <x:t xml:space="preserve">https://huggingface.co/CohereLabs</x:t>
        </x:is>
      </x:c>
      <x:c s="14" r="U8" t="inlineStr">
        <x:is>
          <x:t xml:space="preserve">Transformers; community GGUF/MLX</x:t>
        </x:is>
      </x:c>
      <x:c s="15" r="V8" t="n">
        <x:v>85</x:v>
      </x:c>
      <x:c s="15" r="W8" t="n">
        <x:v>44.5</x:v>
      </x:c>
      <x:c s="15" r="X8" t="n">
        <x:v>34.4</x:v>
      </x:c>
      <x:c s="15" r="Y8" t="n">
        <x:v>29.3</x:v>
      </x:c>
      <x:c s="15" r="Z8" t="n">
        <x:v>24.2</x:v>
      </x:c>
      <x:c s="15" r="AA8" t="n">
        <x:v>19.2</x:v>
      </x:c>
      <x:c s="15" r="AB8" t="n">
        <x:v>14.1</x:v>
      </x:c>
    </x:row>
    <x:row r="9">
      <x:c r="A9" t="inlineStr">
        <x:is>
          <x:t xml:space="preserve">Cohere / Aya</x:t>
        </x:is>
      </x:c>
      <x:c s="14" r="B9" t="inlineStr">
        <x:is>
          <x:t xml:space="preserve">CohereLabs/aya-expanse-8b</x:t>
        </x:is>
      </x:c>
      <x:c s="14" r="C9" t="inlineStr">
        <x:is>
          <x:t xml:space="preserve">aya-expanse-8b</x:t>
        </x:is>
      </x:c>
      <x:c s="15" r="D9" t="n">
        <x:v>8</x:v>
      </x:c>
      <x:c s="15" r="E9"/>
      <x:c s="14" r="F9" t="inlineStr">
        <x:is>
          <x:t xml:space="preserve">multilingual chat</x:t>
        </x:is>
      </x:c>
      <x:c s="14" r="G9" t="inlineStr">
        <x:is>
          <x:t xml:space="preserve">text</x:t>
        </x:is>
      </x:c>
      <x:c r="H9" t="inlineStr">
        <x:is>
          <x:t xml:space="preserve">instruct</x:t>
        </x:is>
      </x:c>
      <x:c r="I9" t="inlineStr">
        <x:is>
          <x:t xml:space="preserve">Dense</x:t>
        </x:is>
      </x:c>
      <x:c s="16" r="J9" t="inlineStr">
        <x:is>
          <x:t xml:space="preserve">open</x:t>
        </x:is>
      </x:c>
      <x:c s="17" r="K9" t="inlineStr">
        <x:is>
          <x:t xml:space="preserve">https://huggingface.co/CohereLabs/aya-expanse-8b</x:t>
        </x:is>
      </x:c>
      <x:c s="17" r="L9" t="inlineStr">
        <x:is>
          <x:t xml:space="preserve">https://huggingface.co/bartowski/aya-expanse-8b-GGUF</x:t>
        </x:is>
      </x:c>
      <x:c s="14" r="M9" t="inlineStr">
        <x:is>
          <x:t xml:space="preserve">BF16/FP16</x:t>
        </x:is>
      </x:c>
      <x:c s="15" r="N9" t="n">
        <x:v>24.2</x:v>
      </x:c>
      <x:c s="14" r="O9" t="inlineStr">
        <x:is>
          <x:t xml:space="preserve">BF16/FP16</x:t>
        </x:is>
      </x:c>
      <x:c s="15" r="P9" t="n">
        <x:v>24.2</x:v>
      </x:c>
      <x:c s="14" r="Q9" t="inlineStr">
        <x:is>
          <x:t xml:space="preserve">Comfortable</x:t>
        </x:is>
      </x:c>
      <x:c s="18" r="R9" t="inlineStr">
        <x:is>
          <x:t xml:space="preserve">Open multilingual Aya model.</x:t>
        </x:is>
      </x:c>
      <x:c s="14" r="S9" t="inlineStr">
        <x:is>
          <x:t xml:space="preserve">current_repo_page_2026-03-27</x:t>
        </x:is>
      </x:c>
      <x:c s="17" r="T9" t="inlineStr">
        <x:is>
          <x:t xml:space="preserve">https://huggingface.co/CohereLabs</x:t>
        </x:is>
      </x:c>
      <x:c s="14" r="U9" t="inlineStr">
        <x:is>
          <x:t xml:space="preserve">Transformers; community GGUF/MLX</x:t>
        </x:is>
      </x:c>
      <x:c s="15" r="V9" t="n">
        <x:v>24.2</x:v>
      </x:c>
      <x:c s="15" r="W9" t="n">
        <x:v>14.1</x:v>
      </x:c>
      <x:c s="15" r="X9" t="n">
        <x:v>11.6</x:v>
      </x:c>
      <x:c s="15" r="Y9" t="n">
        <x:v>10.3</x:v>
      </x:c>
      <x:c s="15" r="Z9" t="n">
        <x:v>9.1</x:v>
      </x:c>
      <x:c s="15" r="AA9" t="n">
        <x:v>7.8</x:v>
      </x:c>
      <x:c s="15" r="AB9" t="n">
        <x:v>6.5</x:v>
      </x:c>
    </x:row>
    <x:row r="10">
      <x:c r="A10" t="inlineStr">
        <x:is>
          <x:t xml:space="preserve">Cohere / Aya</x:t>
        </x:is>
      </x:c>
      <x:c s="14" r="B10" t="inlineStr">
        <x:is>
          <x:t xml:space="preserve">CohereLabs/c4ai-command-r7b-12-2024</x:t>
        </x:is>
      </x:c>
      <x:c s="14" r="C10" t="inlineStr">
        <x:is>
          <x:t xml:space="preserve">c4ai-command-r7b-12-2024</x:t>
        </x:is>
      </x:c>
      <x:c s="15" r="D10" t="n">
        <x:v>7</x:v>
      </x:c>
      <x:c s="15" r="E10"/>
      <x:c s="14" r="F10" t="inlineStr">
        <x:is>
          <x:t xml:space="preserve">agentic / tool use</x:t>
        </x:is>
      </x:c>
      <x:c s="14" r="G10" t="inlineStr">
        <x:is>
          <x:t xml:space="preserve">text</x:t>
        </x:is>
      </x:c>
      <x:c r="H10" t="inlineStr">
        <x:is>
          <x:t xml:space="preserve">chat</x:t>
        </x:is>
      </x:c>
      <x:c r="I10" t="inlineStr">
        <x:is>
          <x:t xml:space="preserve">Dense</x:t>
        </x:is>
      </x:c>
      <x:c s="16" r="J10" t="inlineStr">
        <x:is>
          <x:t xml:space="preserve">gated/contact info</x:t>
        </x:is>
      </x:c>
      <x:c s="17" r="K10" t="inlineStr">
        <x:is>
          <x:t xml:space="preserve">https://huggingface.co/CohereLabs/c4ai-command-r7b-12-2024</x:t>
        </x:is>
      </x:c>
      <x:c s="17" r="L10" t="inlineStr">
        <x:is>
          <x:t xml:space="preserve"/>
        </x:is>
      </x:c>
      <x:c s="14" r="M10" t="inlineStr">
        <x:is>
          <x:t xml:space="preserve">BF16/FP16</x:t>
        </x:is>
      </x:c>
      <x:c s="15" r="N10" t="n">
        <x:v>21.7</x:v>
      </x:c>
      <x:c s="14" r="O10" t="inlineStr">
        <x:is>
          <x:t xml:space="preserve">BF16/FP16</x:t>
        </x:is>
      </x:c>
      <x:c s="15" r="P10" t="n">
        <x:v>21.7</x:v>
      </x:c>
      <x:c s="14" r="Q10" t="inlineStr">
        <x:is>
          <x:t xml:space="preserve">Comfortable</x:t>
        </x:is>
      </x:c>
      <x:c s="18" r="R10" t="inlineStr">
        <x:is>
          <x:t xml:space="preserve">Smaller Command R family member.</x:t>
        </x:is>
      </x:c>
      <x:c s="14" r="S10" t="inlineStr">
        <x:is>
          <x:t xml:space="preserve">current_repo_page_2026-03-27</x:t>
        </x:is>
      </x:c>
      <x:c s="17" r="T10" t="inlineStr">
        <x:is>
          <x:t xml:space="preserve">https://huggingface.co/CohereLabs</x:t>
        </x:is>
      </x:c>
      <x:c s="14" r="U10" t="inlineStr">
        <x:is>
          <x:t xml:space="preserve">Transformers; community GGUF/MLX</x:t>
        </x:is>
      </x:c>
      <x:c s="15" r="V10" t="n">
        <x:v>21.7</x:v>
      </x:c>
      <x:c s="15" r="W10" t="n">
        <x:v>12.9</x:v>
      </x:c>
      <x:c s="15" r="X10" t="n">
        <x:v>10.6</x:v>
      </x:c>
      <x:c s="15" r="Y10" t="n">
        <x:v>9.5</x:v>
      </x:c>
      <x:c s="15" r="Z10" t="n">
        <x:v>8.4</x:v>
      </x:c>
      <x:c s="15" r="AA10" t="n">
        <x:v>7.3</x:v>
      </x:c>
      <x:c s="15" r="AB10" t="n">
        <x:v>6.2</x:v>
      </x:c>
    </x:row>
    <x:row r="11">
      <x:c r="A11" t="inlineStr">
        <x:is>
          <x:t xml:space="preserve">DeepSeek</x:t>
        </x:is>
      </x:c>
      <x:c s="14" r="B11" t="inlineStr">
        <x:is>
          <x:t xml:space="preserve">deepseek-ai/DeepSeek-R1-Distill-Llama-70B</x:t>
        </x:is>
      </x:c>
      <x:c s="14" r="C11" t="inlineStr">
        <x:is>
          <x:t xml:space="preserve">DeepSeek-R1-Distill-Llama-70B</x:t>
        </x:is>
      </x:c>
      <x:c s="15" r="D11" t="n">
        <x:v>70</x:v>
      </x:c>
      <x:c s="15" r="E11"/>
      <x:c s="14" r="F11" t="inlineStr">
        <x:is>
          <x:t xml:space="preserve">reasoning</x:t>
        </x:is>
      </x:c>
      <x:c s="14" r="G11" t="inlineStr">
        <x:is>
          <x:t xml:space="preserve">text</x:t>
        </x:is>
      </x:c>
      <x:c r="H11" t="inlineStr">
        <x:is>
          <x:t xml:space="preserve">distill</x:t>
        </x:is>
      </x:c>
      <x:c r="I11" t="inlineStr">
        <x:is>
          <x:t xml:space="preserve">Dense</x:t>
        </x:is>
      </x:c>
      <x:c s="16" r="J11" t="inlineStr">
        <x:is>
          <x:t xml:space="preserve">open</x:t>
        </x:is>
      </x:c>
      <x:c s="17" r="K11" t="inlineStr">
        <x:is>
          <x:t xml:space="preserve">https://huggingface.co/deepseek-ai/DeepSeek-R1-Distill-Llama-70B</x:t>
        </x:is>
      </x:c>
      <x:c s="17" r="L11" t="inlineStr">
        <x:is>
          <x:t xml:space="preserve"/>
        </x:is>
      </x:c>
      <x:c s="14" r="M11" t="inlineStr">
        <x:is>
          <x:t xml:space="preserve">FP8/Q8_0/INT8</x:t>
        </x:is>
      </x:c>
      <x:c s="15" r="N11" t="n">
        <x:v>92.6</x:v>
      </x:c>
      <x:c s="14" r="O11" t="inlineStr">
        <x:is>
          <x:t xml:space="preserve">Q6_K/6-bit</x:t>
        </x:is>
      </x:c>
      <x:c s="15" r="P11" t="n">
        <x:v>70.4</x:v>
      </x:c>
      <x:c s="14" r="Q11" t="inlineStr">
        <x:is>
          <x:t xml:space="preserve">Comfortable</x:t>
        </x:is>
      </x:c>
      <x:c s="18" r="R11" t="inlineStr">
        <x:is>
          <x:t xml:space="preserve">R1-distilled reasoning model.</x:t>
        </x:is>
      </x:c>
      <x:c s="14" r="S11" t="inlineStr">
        <x:is>
          <x:t xml:space="preserve">current_repo_page_2026-03-27</x:t>
        </x:is>
      </x:c>
      <x:c s="17" r="T11" t="inlineStr">
        <x:is>
          <x:t xml:space="preserve">https://huggingface.co/deepseek-ai</x:t>
        </x:is>
      </x:c>
      <x:c s="14" r="U11" t="inlineStr">
        <x:is>
          <x:t xml:space="preserve">Transformers; community GGUF/AWQ</x:t>
        </x:is>
      </x:c>
      <x:c s="15" r="V11" t="n">
        <x:v>181.1</x:v>
      </x:c>
      <x:c s="15" r="W11" t="n">
        <x:v>92.6</x:v>
      </x:c>
      <x:c s="15" r="X11" t="n">
        <x:v>70.4</x:v>
      </x:c>
      <x:c s="15" r="Y11" t="n">
        <x:v>59.3</x:v>
      </x:c>
      <x:c s="15" r="Z11" t="n">
        <x:v>48.3</x:v>
      </x:c>
      <x:c s="15" r="AA11" t="n">
        <x:v>37.2</x:v>
      </x:c>
      <x:c s="15" r="AB11" t="n">
        <x:v>26.1</x:v>
      </x:c>
    </x:row>
    <x:row r="12">
      <x:c r="A12" t="inlineStr">
        <x:is>
          <x:t xml:space="preserve">DeepSeek</x:t>
        </x:is>
      </x:c>
      <x:c s="14" r="B12" t="inlineStr">
        <x:is>
          <x:t xml:space="preserve">deepseek-ai/DeepSeek-R1-Distill-Qwen-32B</x:t>
        </x:is>
      </x:c>
      <x:c s="14" r="C12" t="inlineStr">
        <x:is>
          <x:t xml:space="preserve">DeepSeek-R1-Distill-Qwen-32B</x:t>
        </x:is>
      </x:c>
      <x:c s="15" r="D12" t="n">
        <x:v>32</x:v>
      </x:c>
      <x:c s="15" r="E12"/>
      <x:c s="14" r="F12" t="inlineStr">
        <x:is>
          <x:t xml:space="preserve">reasoning</x:t>
        </x:is>
      </x:c>
      <x:c s="14" r="G12" t="inlineStr">
        <x:is>
          <x:t xml:space="preserve">text</x:t>
        </x:is>
      </x:c>
      <x:c r="H12" t="inlineStr">
        <x:is>
          <x:t xml:space="preserve">distill</x:t>
        </x:is>
      </x:c>
      <x:c r="I12" t="inlineStr">
        <x:is>
          <x:t xml:space="preserve">Dense</x:t>
        </x:is>
      </x:c>
      <x:c s="16" r="J12" t="inlineStr">
        <x:is>
          <x:t xml:space="preserve">open</x:t>
        </x:is>
      </x:c>
      <x:c s="17" r="K12" t="inlineStr">
        <x:is>
          <x:t xml:space="preserve">https://huggingface.co/deepseek-ai/DeepSeek-R1-Distill-Qwen-32B</x:t>
        </x:is>
      </x:c>
      <x:c s="17" r="L12" t="inlineStr">
        <x:is>
          <x:t xml:space="preserve"/>
        </x:is>
      </x:c>
      <x:c s="14" r="M12" t="inlineStr">
        <x:is>
          <x:t xml:space="preserve">BF16/FP16</x:t>
        </x:is>
      </x:c>
      <x:c s="15" r="N12" t="n">
        <x:v>85</x:v>
      </x:c>
      <x:c s="14" r="O12" t="inlineStr">
        <x:is>
          <x:t xml:space="preserve">BF16/FP16</x:t>
        </x:is>
      </x:c>
      <x:c s="15" r="P12" t="n">
        <x:v>85</x:v>
      </x:c>
      <x:c s="14" r="Q12" t="inlineStr">
        <x:is>
          <x:t xml:space="preserve">Near limit</x:t>
        </x:is>
      </x:c>
      <x:c s="18" r="R12" t="inlineStr">
        <x:is>
          <x:t xml:space="preserve">R1-distilled reasoning model.</x:t>
        </x:is>
      </x:c>
      <x:c s="14" r="S12" t="inlineStr">
        <x:is>
          <x:t xml:space="preserve">current_repo_page_2026-03-27</x:t>
        </x:is>
      </x:c>
      <x:c s="17" r="T12" t="inlineStr">
        <x:is>
          <x:t xml:space="preserve">https://huggingface.co/deepseek-ai</x:t>
        </x:is>
      </x:c>
      <x:c s="14" r="U12" t="inlineStr">
        <x:is>
          <x:t xml:space="preserve">Transformers; community GGUF/AWQ</x:t>
        </x:is>
      </x:c>
      <x:c s="15" r="V12" t="n">
        <x:v>85</x:v>
      </x:c>
      <x:c s="15" r="W12" t="n">
        <x:v>44.5</x:v>
      </x:c>
      <x:c s="15" r="X12" t="n">
        <x:v>34.4</x:v>
      </x:c>
      <x:c s="15" r="Y12" t="n">
        <x:v>29.3</x:v>
      </x:c>
      <x:c s="15" r="Z12" t="n">
        <x:v>24.2</x:v>
      </x:c>
      <x:c s="15" r="AA12" t="n">
        <x:v>19.2</x:v>
      </x:c>
      <x:c s="15" r="AB12" t="n">
        <x:v>14.1</x:v>
      </x:c>
    </x:row>
    <x:row r="13">
      <x:c r="A13" t="inlineStr">
        <x:is>
          <x:t xml:space="preserve">DeepSeek</x:t>
        </x:is>
      </x:c>
      <x:c s="14" r="B13" t="inlineStr">
        <x:is>
          <x:t xml:space="preserve">deepseek-ai/DeepSeek-Coder-V2-Lite-Base</x:t>
        </x:is>
      </x:c>
      <x:c s="14" r="C13" t="inlineStr">
        <x:is>
          <x:t xml:space="preserve">DeepSeek-Coder-V2-Lite-Base</x:t>
        </x:is>
      </x:c>
      <x:c s="15" r="D13" t="n">
        <x:v>16</x:v>
      </x:c>
      <x:c s="15" r="E13" t="n">
        <x:v>2.4</x:v>
      </x:c>
      <x:c s="14" r="F13" t="inlineStr">
        <x:is>
          <x:t xml:space="preserve">coding</x:t>
        </x:is>
      </x:c>
      <x:c s="14" r="G13" t="inlineStr">
        <x:is>
          <x:t xml:space="preserve">text</x:t>
        </x:is>
      </x:c>
      <x:c r="H13" t="inlineStr">
        <x:is>
          <x:t xml:space="preserve">base</x:t>
        </x:is>
      </x:c>
      <x:c r="I13" t="inlineStr">
        <x:is>
          <x:t xml:space="preserve">MoE</x:t>
        </x:is>
      </x:c>
      <x:c s="16" r="J13" t="inlineStr">
        <x:is>
          <x:t xml:space="preserve">open</x:t>
        </x:is>
      </x:c>
      <x:c s="17" r="K13" t="inlineStr">
        <x:is>
          <x:t xml:space="preserve">https://huggingface.co/deepseek-ai/DeepSeek-Coder-V2-Lite-Base</x:t>
        </x:is>
      </x:c>
      <x:c s="17" r="L13" t="inlineStr">
        <x:is>
          <x:t xml:space="preserve"/>
        </x:is>
      </x:c>
      <x:c s="14" r="M13" t="inlineStr">
        <x:is>
          <x:t xml:space="preserve">BF16/FP16</x:t>
        </x:is>
      </x:c>
      <x:c s="15" r="N13" t="n">
        <x:v>46.2</x:v>
      </x:c>
      <x:c s="14" r="O13" t="inlineStr">
        <x:is>
          <x:t xml:space="preserve">BF16/FP16</x:t>
        </x:is>
      </x:c>
      <x:c s="15" r="P13" t="n">
        <x:v>46.2</x:v>
      </x:c>
      <x:c s="14" r="Q13" t="inlineStr">
        <x:is>
          <x:t xml:space="preserve">Comfortable</x:t>
        </x:is>
      </x:c>
      <x:c s="18" r="R13" t="inlineStr">
        <x:is>
          <x:t xml:space="preserve">Coder V2 Lite family.</x:t>
        </x:is>
      </x:c>
      <x:c s="14" r="S13" t="inlineStr">
        <x:is>
          <x:t xml:space="preserve">current_repo_page_2026-03-27</x:t>
        </x:is>
      </x:c>
      <x:c s="17" r="T13" t="inlineStr">
        <x:is>
          <x:t xml:space="preserve">https://huggingface.co/deepseek-ai</x:t>
        </x:is>
      </x:c>
      <x:c s="14" r="U13" t="inlineStr">
        <x:is>
          <x:t xml:space="preserve">Transformers; community GGUF/AWQ</x:t>
        </x:is>
      </x:c>
      <x:c s="15" r="V13" t="n">
        <x:v>46.2</x:v>
      </x:c>
      <x:c s="15" r="W13" t="n">
        <x:v>25.1</x:v>
      </x:c>
      <x:c s="15" r="X13" t="n">
        <x:v>19.8</x:v>
      </x:c>
      <x:c s="15" r="Y13" t="n">
        <x:v>17.2</x:v>
      </x:c>
      <x:c s="15" r="Z13" t="n">
        <x:v>14.6</x:v>
      </x:c>
      <x:c s="15" r="AA13" t="n">
        <x:v>11.9</x:v>
      </x:c>
      <x:c s="15" r="AB13" t="n">
        <x:v>9.3</x:v>
      </x:c>
    </x:row>
    <x:row r="14">
      <x:c r="A14" t="inlineStr">
        <x:is>
          <x:t xml:space="preserve">DeepSeek</x:t>
        </x:is>
      </x:c>
      <x:c s="14" r="B14" t="inlineStr">
        <x:is>
          <x:t xml:space="preserve">deepseek-ai/DeepSeek-Coder-V2-Lite-Instruct</x:t>
        </x:is>
      </x:c>
      <x:c s="14" r="C14" t="inlineStr">
        <x:is>
          <x:t xml:space="preserve">DeepSeek-Coder-V2-Lite-Instruct</x:t>
        </x:is>
      </x:c>
      <x:c s="15" r="D14" t="n">
        <x:v>16</x:v>
      </x:c>
      <x:c s="15" r="E14" t="n">
        <x:v>2.4</x:v>
      </x:c>
      <x:c s="14" r="F14" t="inlineStr">
        <x:is>
          <x:t xml:space="preserve">coding chat</x:t>
        </x:is>
      </x:c>
      <x:c s="14" r="G14" t="inlineStr">
        <x:is>
          <x:t xml:space="preserve">text</x:t>
        </x:is>
      </x:c>
      <x:c r="H14" t="inlineStr">
        <x:is>
          <x:t xml:space="preserve">instruct</x:t>
        </x:is>
      </x:c>
      <x:c r="I14" t="inlineStr">
        <x:is>
          <x:t xml:space="preserve">MoE</x:t>
        </x:is>
      </x:c>
      <x:c s="16" r="J14" t="inlineStr">
        <x:is>
          <x:t xml:space="preserve">open</x:t>
        </x:is>
      </x:c>
      <x:c s="17" r="K14" t="inlineStr">
        <x:is>
          <x:t xml:space="preserve">https://huggingface.co/deepseek-ai/DeepSeek-Coder-V2-Lite-Instruct</x:t>
        </x:is>
      </x:c>
      <x:c s="17" r="L14" t="inlineStr">
        <x:is>
          <x:t xml:space="preserve"/>
        </x:is>
      </x:c>
      <x:c s="14" r="M14" t="inlineStr">
        <x:is>
          <x:t xml:space="preserve">BF16/FP16</x:t>
        </x:is>
      </x:c>
      <x:c s="15" r="N14" t="n">
        <x:v>46.2</x:v>
      </x:c>
      <x:c s="14" r="O14" t="inlineStr">
        <x:is>
          <x:t xml:space="preserve">BF16/FP16</x:t>
        </x:is>
      </x:c>
      <x:c s="15" r="P14" t="n">
        <x:v>46.2</x:v>
      </x:c>
      <x:c s="14" r="Q14" t="inlineStr">
        <x:is>
          <x:t xml:space="preserve">Comfortable</x:t>
        </x:is>
      </x:c>
      <x:c s="18" r="R14" t="inlineStr">
        <x:is>
          <x:t xml:space="preserve">Coder V2 Lite family.</x:t>
        </x:is>
      </x:c>
      <x:c s="14" r="S14" t="inlineStr">
        <x:is>
          <x:t xml:space="preserve">current_repo_page_2026-03-27</x:t>
        </x:is>
      </x:c>
      <x:c s="17" r="T14" t="inlineStr">
        <x:is>
          <x:t xml:space="preserve">https://huggingface.co/deepseek-ai</x:t>
        </x:is>
      </x:c>
      <x:c s="14" r="U14" t="inlineStr">
        <x:is>
          <x:t xml:space="preserve">Transformers; community GGUF/AWQ</x:t>
        </x:is>
      </x:c>
      <x:c s="15" r="V14" t="n">
        <x:v>46.2</x:v>
      </x:c>
      <x:c s="15" r="W14" t="n">
        <x:v>25.1</x:v>
      </x:c>
      <x:c s="15" r="X14" t="n">
        <x:v>19.8</x:v>
      </x:c>
      <x:c s="15" r="Y14" t="n">
        <x:v>17.2</x:v>
      </x:c>
      <x:c s="15" r="Z14" t="n">
        <x:v>14.6</x:v>
      </x:c>
      <x:c s="15" r="AA14" t="n">
        <x:v>11.9</x:v>
      </x:c>
      <x:c s="15" r="AB14" t="n">
        <x:v>9.3</x:v>
      </x:c>
    </x:row>
    <x:row r="15">
      <x:c r="A15" t="inlineStr">
        <x:is>
          <x:t xml:space="preserve">DeepSeek</x:t>
        </x:is>
      </x:c>
      <x:c s="14" r="B15" t="inlineStr">
        <x:is>
          <x:t xml:space="preserve">deepseek-ai/DeepSeek-V2-Lite</x:t>
        </x:is>
      </x:c>
      <x:c s="14" r="C15" t="inlineStr">
        <x:is>
          <x:t xml:space="preserve">DeepSeek-V2-Lite</x:t>
        </x:is>
      </x:c>
      <x:c s="15" r="D15" t="n">
        <x:v>16</x:v>
      </x:c>
      <x:c s="15" r="E15" t="n">
        <x:v>2.4</x:v>
      </x:c>
      <x:c s="14" r="F15" t="inlineStr">
        <x:is>
          <x:t xml:space="preserve">general</x:t>
        </x:is>
      </x:c>
      <x:c s="14" r="G15" t="inlineStr">
        <x:is>
          <x:t xml:space="preserve">text</x:t>
        </x:is>
      </x:c>
      <x:c r="H15" t="inlineStr">
        <x:is>
          <x:t xml:space="preserve">base</x:t>
        </x:is>
      </x:c>
      <x:c r="I15" t="inlineStr">
        <x:is>
          <x:t xml:space="preserve">MoE</x:t>
        </x:is>
      </x:c>
      <x:c s="16" r="J15" t="inlineStr">
        <x:is>
          <x:t xml:space="preserve">open</x:t>
        </x:is>
      </x:c>
      <x:c s="17" r="K15" t="inlineStr">
        <x:is>
          <x:t xml:space="preserve">https://huggingface.co/deepseek-ai/DeepSeek-V2-Lite</x:t>
        </x:is>
      </x:c>
      <x:c s="17" r="L15" t="inlineStr">
        <x:is>
          <x:t xml:space="preserve"/>
        </x:is>
      </x:c>
      <x:c s="14" r="M15" t="inlineStr">
        <x:is>
          <x:t xml:space="preserve">BF16/FP16</x:t>
        </x:is>
      </x:c>
      <x:c s="15" r="N15" t="n">
        <x:v>46.2</x:v>
      </x:c>
      <x:c s="14" r="O15" t="inlineStr">
        <x:is>
          <x:t xml:space="preserve">BF16/FP16</x:t>
        </x:is>
      </x:c>
      <x:c s="15" r="P15" t="n">
        <x:v>46.2</x:v>
      </x:c>
      <x:c s="14" r="Q15" t="inlineStr">
        <x:is>
          <x:t xml:space="preserve">Comfortable</x:t>
        </x:is>
      </x:c>
      <x:c s="18" r="R15" t="inlineStr">
        <x:is>
          <x:t xml:space="preserve">DeepSeek V2 Lite.</x:t>
        </x:is>
      </x:c>
      <x:c s="14" r="S15" t="inlineStr">
        <x:is>
          <x:t xml:space="preserve">stable_series_pattern</x:t>
        </x:is>
      </x:c>
      <x:c s="17" r="T15" t="inlineStr">
        <x:is>
          <x:t xml:space="preserve">https://huggingface.co/deepseek-ai</x:t>
        </x:is>
      </x:c>
      <x:c s="14" r="U15" t="inlineStr">
        <x:is>
          <x:t xml:space="preserve">Transformers; community GGUF/AWQ</x:t>
        </x:is>
      </x:c>
      <x:c s="15" r="V15" t="n">
        <x:v>46.2</x:v>
      </x:c>
      <x:c s="15" r="W15" t="n">
        <x:v>25.1</x:v>
      </x:c>
      <x:c s="15" r="X15" t="n">
        <x:v>19.8</x:v>
      </x:c>
      <x:c s="15" r="Y15" t="n">
        <x:v>17.2</x:v>
      </x:c>
      <x:c s="15" r="Z15" t="n">
        <x:v>14.6</x:v>
      </x:c>
      <x:c s="15" r="AA15" t="n">
        <x:v>11.9</x:v>
      </x:c>
      <x:c s="15" r="AB15" t="n">
        <x:v>9.3</x:v>
      </x:c>
    </x:row>
    <x:row r="16">
      <x:c r="A16" t="inlineStr">
        <x:is>
          <x:t xml:space="preserve">DeepSeek</x:t>
        </x:is>
      </x:c>
      <x:c s="14" r="B16" t="inlineStr">
        <x:is>
          <x:t xml:space="preserve">deepseek-ai/DeepSeek-V2-Lite-Chat</x:t>
        </x:is>
      </x:c>
      <x:c s="14" r="C16" t="inlineStr">
        <x:is>
          <x:t xml:space="preserve">DeepSeek-V2-Lite-Chat</x:t>
        </x:is>
      </x:c>
      <x:c s="15" r="D16" t="n">
        <x:v>16</x:v>
      </x:c>
      <x:c s="15" r="E16" t="n">
        <x:v>2.4</x:v>
      </x:c>
      <x:c s="14" r="F16" t="inlineStr">
        <x:is>
          <x:t xml:space="preserve">general chat</x:t>
        </x:is>
      </x:c>
      <x:c s="14" r="G16" t="inlineStr">
        <x:is>
          <x:t xml:space="preserve">text</x:t>
        </x:is>
      </x:c>
      <x:c r="H16" t="inlineStr">
        <x:is>
          <x:t xml:space="preserve">chat</x:t>
        </x:is>
      </x:c>
      <x:c r="I16" t="inlineStr">
        <x:is>
          <x:t xml:space="preserve">MoE</x:t>
        </x:is>
      </x:c>
      <x:c s="16" r="J16" t="inlineStr">
        <x:is>
          <x:t xml:space="preserve">open</x:t>
        </x:is>
      </x:c>
      <x:c s="17" r="K16" t="inlineStr">
        <x:is>
          <x:t xml:space="preserve">https://huggingface.co/deepseek-ai/DeepSeek-V2-Lite-Chat</x:t>
        </x:is>
      </x:c>
      <x:c s="17" r="L16" t="inlineStr">
        <x:is>
          <x:t xml:space="preserve"/>
        </x:is>
      </x:c>
      <x:c s="14" r="M16" t="inlineStr">
        <x:is>
          <x:t xml:space="preserve">BF16/FP16</x:t>
        </x:is>
      </x:c>
      <x:c s="15" r="N16" t="n">
        <x:v>46.2</x:v>
      </x:c>
      <x:c s="14" r="O16" t="inlineStr">
        <x:is>
          <x:t xml:space="preserve">BF16/FP16</x:t>
        </x:is>
      </x:c>
      <x:c s="15" r="P16" t="n">
        <x:v>46.2</x:v>
      </x:c>
      <x:c s="14" r="Q16" t="inlineStr">
        <x:is>
          <x:t xml:space="preserve">Comfortable</x:t>
        </x:is>
      </x:c>
      <x:c s="18" r="R16" t="inlineStr">
        <x:is>
          <x:t xml:space="preserve">DeepSeek V2 Lite chat.</x:t>
        </x:is>
      </x:c>
      <x:c s="14" r="S16" t="inlineStr">
        <x:is>
          <x:t xml:space="preserve">stable_series_pattern</x:t>
        </x:is>
      </x:c>
      <x:c s="17" r="T16" t="inlineStr">
        <x:is>
          <x:t xml:space="preserve">https://huggingface.co/deepseek-ai</x:t>
        </x:is>
      </x:c>
      <x:c s="14" r="U16" t="inlineStr">
        <x:is>
          <x:t xml:space="preserve">Transformers; community GGUF/AWQ</x:t>
        </x:is>
      </x:c>
      <x:c s="15" r="V16" t="n">
        <x:v>46.2</x:v>
      </x:c>
      <x:c s="15" r="W16" t="n">
        <x:v>25.1</x:v>
      </x:c>
      <x:c s="15" r="X16" t="n">
        <x:v>19.8</x:v>
      </x:c>
      <x:c s="15" r="Y16" t="n">
        <x:v>17.2</x:v>
      </x:c>
      <x:c s="15" r="Z16" t="n">
        <x:v>14.6</x:v>
      </x:c>
      <x:c s="15" r="AA16" t="n">
        <x:v>11.9</x:v>
      </x:c>
      <x:c s="15" r="AB16" t="n">
        <x:v>9.3</x:v>
      </x:c>
    </x:row>
    <x:row r="17">
      <x:c r="A17" t="inlineStr">
        <x:is>
          <x:t xml:space="preserve">DeepSeek</x:t>
        </x:is>
      </x:c>
      <x:c s="14" r="B17" t="inlineStr">
        <x:is>
          <x:t xml:space="preserve">deepseek-ai/DeepSeek-R1-Distill-Qwen-14B</x:t>
        </x:is>
      </x:c>
      <x:c s="14" r="C17" t="inlineStr">
        <x:is>
          <x:t xml:space="preserve">DeepSeek-R1-Distill-Qwen-14B</x:t>
        </x:is>
      </x:c>
      <x:c s="15" r="D17" t="n">
        <x:v>14</x:v>
      </x:c>
      <x:c s="15" r="E17"/>
      <x:c s="14" r="F17" t="inlineStr">
        <x:is>
          <x:t xml:space="preserve">reasoning</x:t>
        </x:is>
      </x:c>
      <x:c s="14" r="G17" t="inlineStr">
        <x:is>
          <x:t xml:space="preserve">text</x:t>
        </x:is>
      </x:c>
      <x:c r="H17" t="inlineStr">
        <x:is>
          <x:t xml:space="preserve">distill</x:t>
        </x:is>
      </x:c>
      <x:c r="I17" t="inlineStr">
        <x:is>
          <x:t xml:space="preserve">Dense</x:t>
        </x:is>
      </x:c>
      <x:c s="16" r="J17" t="inlineStr">
        <x:is>
          <x:t xml:space="preserve">open</x:t>
        </x:is>
      </x:c>
      <x:c s="17" r="K17" t="inlineStr">
        <x:is>
          <x:t xml:space="preserve">https://huggingface.co/deepseek-ai/DeepSeek-R1-Distill-Qwen-14B</x:t>
        </x:is>
      </x:c>
      <x:c s="17" r="L17" t="inlineStr">
        <x:is>
          <x:t xml:space="preserve"/>
        </x:is>
      </x:c>
      <x:c s="14" r="M17" t="inlineStr">
        <x:is>
          <x:t xml:space="preserve">BF16/FP16</x:t>
        </x:is>
      </x:c>
      <x:c s="15" r="N17" t="n">
        <x:v>39.4</x:v>
      </x:c>
      <x:c s="14" r="O17" t="inlineStr">
        <x:is>
          <x:t xml:space="preserve">BF16/FP16</x:t>
        </x:is>
      </x:c>
      <x:c s="15" r="P17" t="n">
        <x:v>39.4</x:v>
      </x:c>
      <x:c s="14" r="Q17" t="inlineStr">
        <x:is>
          <x:t xml:space="preserve">Comfortable</x:t>
        </x:is>
      </x:c>
      <x:c s="18" r="R17" t="inlineStr">
        <x:is>
          <x:t xml:space="preserve">R1-distilled reasoning model.</x:t>
        </x:is>
      </x:c>
      <x:c s="14" r="S17" t="inlineStr">
        <x:is>
          <x:t xml:space="preserve">current_repo_page_2026-03-27</x:t>
        </x:is>
      </x:c>
      <x:c s="17" r="T17" t="inlineStr">
        <x:is>
          <x:t xml:space="preserve">https://huggingface.co/deepseek-ai</x:t>
        </x:is>
      </x:c>
      <x:c s="14" r="U17" t="inlineStr">
        <x:is>
          <x:t xml:space="preserve">Transformers; community GGUF/AWQ</x:t>
        </x:is>
      </x:c>
      <x:c s="15" r="V17" t="n">
        <x:v>39.4</x:v>
      </x:c>
      <x:c s="15" r="W17" t="n">
        <x:v>21.7</x:v>
      </x:c>
      <x:c s="15" r="X17" t="n">
        <x:v>17.3</x:v>
      </x:c>
      <x:c s="15" r="Y17" t="n">
        <x:v>15.1</x:v>
      </x:c>
      <x:c s="15" r="Z17" t="n">
        <x:v>12.9</x:v>
      </x:c>
      <x:c s="15" r="AA17" t="n">
        <x:v>10.6</x:v>
      </x:c>
      <x:c s="15" r="AB17" t="n">
        <x:v>8.4</x:v>
      </x:c>
    </x:row>
    <x:row r="18">
      <x:c r="A18" t="inlineStr">
        <x:is>
          <x:t xml:space="preserve">DeepSeek</x:t>
        </x:is>
      </x:c>
      <x:c s="14" r="B18" t="inlineStr">
        <x:is>
          <x:t xml:space="preserve">deepseek-ai/DeepSeek-R1-0528-Qwen3-8B</x:t>
        </x:is>
      </x:c>
      <x:c s="14" r="C18" t="inlineStr">
        <x:is>
          <x:t xml:space="preserve">DeepSeek-R1-0528-Qwen3-8B</x:t>
        </x:is>
      </x:c>
      <x:c s="15" r="D18" t="n">
        <x:v>8</x:v>
      </x:c>
      <x:c s="15" r="E18"/>
      <x:c s="14" r="F18" t="inlineStr">
        <x:is>
          <x:t xml:space="preserve">reasoning</x:t>
        </x:is>
      </x:c>
      <x:c s="14" r="G18" t="inlineStr">
        <x:is>
          <x:t xml:space="preserve">text</x:t>
        </x:is>
      </x:c>
      <x:c r="H18" t="inlineStr">
        <x:is>
          <x:t xml:space="preserve">reasoning</x:t>
        </x:is>
      </x:c>
      <x:c r="I18" t="inlineStr">
        <x:is>
          <x:t xml:space="preserve">Dense</x:t>
        </x:is>
      </x:c>
      <x:c s="16" r="J18" t="inlineStr">
        <x:is>
          <x:t xml:space="preserve">open</x:t>
        </x:is>
      </x:c>
      <x:c s="17" r="K18" t="inlineStr">
        <x:is>
          <x:t xml:space="preserve">https://huggingface.co/deepseek-ai/DeepSeek-R1-0528-Qwen3-8B</x:t>
        </x:is>
      </x:c>
      <x:c s="17" r="L18" t="inlineStr">
        <x:is>
          <x:t xml:space="preserve"/>
        </x:is>
      </x:c>
      <x:c s="14" r="M18" t="inlineStr">
        <x:is>
          <x:t xml:space="preserve">BF16/FP16</x:t>
        </x:is>
      </x:c>
      <x:c s="15" r="N18" t="n">
        <x:v>24.2</x:v>
      </x:c>
      <x:c s="14" r="O18" t="inlineStr">
        <x:is>
          <x:t xml:space="preserve">BF16/FP16</x:t>
        </x:is>
      </x:c>
      <x:c s="15" r="P18" t="n">
        <x:v>24.2</x:v>
      </x:c>
      <x:c s="14" r="Q18" t="inlineStr">
        <x:is>
          <x:t xml:space="preserve">Comfortable</x:t>
        </x:is>
      </x:c>
      <x:c s="18" r="R18" t="inlineStr">
        <x:is>
          <x:t xml:space="preserve">Smaller R1-0528 variant.</x:t>
        </x:is>
      </x:c>
      <x:c s="14" r="S18" t="inlineStr">
        <x:is>
          <x:t xml:space="preserve">current_repo_page_2026-03-27</x:t>
        </x:is>
      </x:c>
      <x:c s="17" r="T18" t="inlineStr">
        <x:is>
          <x:t xml:space="preserve">https://huggingface.co/deepseek-ai</x:t>
        </x:is>
      </x:c>
      <x:c s="14" r="U18" t="inlineStr">
        <x:is>
          <x:t xml:space="preserve">Transformers; community GGUF/AWQ</x:t>
        </x:is>
      </x:c>
      <x:c s="15" r="V18" t="n">
        <x:v>24.2</x:v>
      </x:c>
      <x:c s="15" r="W18" t="n">
        <x:v>14.1</x:v>
      </x:c>
      <x:c s="15" r="X18" t="n">
        <x:v>11.6</x:v>
      </x:c>
      <x:c s="15" r="Y18" t="n">
        <x:v>10.3</x:v>
      </x:c>
      <x:c s="15" r="Z18" t="n">
        <x:v>9.1</x:v>
      </x:c>
      <x:c s="15" r="AA18" t="n">
        <x:v>7.8</x:v>
      </x:c>
      <x:c s="15" r="AB18" t="n">
        <x:v>6.5</x:v>
      </x:c>
    </x:row>
    <x:row r="19">
      <x:c r="A19" t="inlineStr">
        <x:is>
          <x:t xml:space="preserve">DeepSeek</x:t>
        </x:is>
      </x:c>
      <x:c s="14" r="B19" t="inlineStr">
        <x:is>
          <x:t xml:space="preserve">deepseek-ai/DeepSeek-R1-Distill-Llama-8B</x:t>
        </x:is>
      </x:c>
      <x:c s="14" r="C19" t="inlineStr">
        <x:is>
          <x:t xml:space="preserve">DeepSeek-R1-Distill-Llama-8B</x:t>
        </x:is>
      </x:c>
      <x:c s="15" r="D19" t="n">
        <x:v>8</x:v>
      </x:c>
      <x:c s="15" r="E19"/>
      <x:c s="14" r="F19" t="inlineStr">
        <x:is>
          <x:t xml:space="preserve">reasoning</x:t>
        </x:is>
      </x:c>
      <x:c s="14" r="G19" t="inlineStr">
        <x:is>
          <x:t xml:space="preserve">text</x:t>
        </x:is>
      </x:c>
      <x:c r="H19" t="inlineStr">
        <x:is>
          <x:t xml:space="preserve">distill</x:t>
        </x:is>
      </x:c>
      <x:c r="I19" t="inlineStr">
        <x:is>
          <x:t xml:space="preserve">Dense</x:t>
        </x:is>
      </x:c>
      <x:c s="16" r="J19" t="inlineStr">
        <x:is>
          <x:t xml:space="preserve">open</x:t>
        </x:is>
      </x:c>
      <x:c s="17" r="K19" t="inlineStr">
        <x:is>
          <x:t xml:space="preserve">https://huggingface.co/deepseek-ai/DeepSeek-R1-Distill-Llama-8B</x:t>
        </x:is>
      </x:c>
      <x:c s="17" r="L19" t="inlineStr">
        <x:is>
          <x:t xml:space="preserve"/>
        </x:is>
      </x:c>
      <x:c s="14" r="M19" t="inlineStr">
        <x:is>
          <x:t xml:space="preserve">BF16/FP16</x:t>
        </x:is>
      </x:c>
      <x:c s="15" r="N19" t="n">
        <x:v>24.2</x:v>
      </x:c>
      <x:c s="14" r="O19" t="inlineStr">
        <x:is>
          <x:t xml:space="preserve">BF16/FP16</x:t>
        </x:is>
      </x:c>
      <x:c s="15" r="P19" t="n">
        <x:v>24.2</x:v>
      </x:c>
      <x:c s="14" r="Q19" t="inlineStr">
        <x:is>
          <x:t xml:space="preserve">Comfortable</x:t>
        </x:is>
      </x:c>
      <x:c s="18" r="R19" t="inlineStr">
        <x:is>
          <x:t xml:space="preserve">R1-distilled reasoning model.</x:t>
        </x:is>
      </x:c>
      <x:c s="14" r="S19" t="inlineStr">
        <x:is>
          <x:t xml:space="preserve">current_repo_page_2026-03-27</x:t>
        </x:is>
      </x:c>
      <x:c s="17" r="T19" t="inlineStr">
        <x:is>
          <x:t xml:space="preserve">https://huggingface.co/deepseek-ai</x:t>
        </x:is>
      </x:c>
      <x:c s="14" r="U19" t="inlineStr">
        <x:is>
          <x:t xml:space="preserve">Transformers; community GGUF/AWQ</x:t>
        </x:is>
      </x:c>
      <x:c s="15" r="V19" t="n">
        <x:v>24.2</x:v>
      </x:c>
      <x:c s="15" r="W19" t="n">
        <x:v>14.1</x:v>
      </x:c>
      <x:c s="15" r="X19" t="n">
        <x:v>11.6</x:v>
      </x:c>
      <x:c s="15" r="Y19" t="n">
        <x:v>10.3</x:v>
      </x:c>
      <x:c s="15" r="Z19" t="n">
        <x:v>9.1</x:v>
      </x:c>
      <x:c s="15" r="AA19" t="n">
        <x:v>7.8</x:v>
      </x:c>
      <x:c s="15" r="AB19" t="n">
        <x:v>6.5</x:v>
      </x:c>
    </x:row>
    <x:row r="20">
      <x:c r="A20" t="inlineStr">
        <x:is>
          <x:t xml:space="preserve">DeepSeek</x:t>
        </x:is>
      </x:c>
      <x:c s="14" r="B20" t="inlineStr">
        <x:is>
          <x:t xml:space="preserve">deepseek-ai/DeepSeek-Prover-V1.5-Base</x:t>
        </x:is>
      </x:c>
      <x:c s="14" r="C20" t="inlineStr">
        <x:is>
          <x:t xml:space="preserve">DeepSeek-Prover-V1.5-Base</x:t>
        </x:is>
      </x:c>
      <x:c s="15" r="D20" t="n">
        <x:v>7</x:v>
      </x:c>
      <x:c s="15" r="E20"/>
      <x:c s="14" r="F20" t="inlineStr">
        <x:is>
          <x:t xml:space="preserve">theorem proving</x:t>
        </x:is>
      </x:c>
      <x:c s="14" r="G20" t="inlineStr">
        <x:is>
          <x:t xml:space="preserve">text</x:t>
        </x:is>
      </x:c>
      <x:c r="H20" t="inlineStr">
        <x:is>
          <x:t xml:space="preserve">base</x:t>
        </x:is>
      </x:c>
      <x:c r="I20" t="inlineStr">
        <x:is>
          <x:t xml:space="preserve">Dense</x:t>
        </x:is>
      </x:c>
      <x:c s="16" r="J20" t="inlineStr">
        <x:is>
          <x:t xml:space="preserve">open</x:t>
        </x:is>
      </x:c>
      <x:c s="17" r="K20" t="inlineStr">
        <x:is>
          <x:t xml:space="preserve">https://huggingface.co/deepseek-ai/DeepSeek-Prover-V1.5-Base</x:t>
        </x:is>
      </x:c>
      <x:c s="17" r="L20" t="inlineStr">
        <x:is>
          <x:t xml:space="preserve"/>
        </x:is>
      </x:c>
      <x:c s="14" r="M20" t="inlineStr">
        <x:is>
          <x:t xml:space="preserve">BF16/FP16</x:t>
        </x:is>
      </x:c>
      <x:c s="15" r="N20" t="n">
        <x:v>21.7</x:v>
      </x:c>
      <x:c s="14" r="O20" t="inlineStr">
        <x:is>
          <x:t xml:space="preserve">BF16/FP16</x:t>
        </x:is>
      </x:c>
      <x:c s="15" r="P20" t="n">
        <x:v>21.7</x:v>
      </x:c>
      <x:c s="14" r="Q20" t="inlineStr">
        <x:is>
          <x:t xml:space="preserve">Comfortable</x:t>
        </x:is>
      </x:c>
      <x:c s="18" r="R20" t="inlineStr">
        <x:is>
          <x:t xml:space="preserve">Specialized theorem-proving model.</x:t>
        </x:is>
      </x:c>
      <x:c s="14" r="S20" t="inlineStr">
        <x:is>
          <x:t xml:space="preserve">stable_series_pattern</x:t>
        </x:is>
      </x:c>
      <x:c s="17" r="T20" t="inlineStr">
        <x:is>
          <x:t xml:space="preserve">https://huggingface.co/deepseek-ai</x:t>
        </x:is>
      </x:c>
      <x:c s="14" r="U20" t="inlineStr">
        <x:is>
          <x:t xml:space="preserve">Transformers; community GGUF/AWQ</x:t>
        </x:is>
      </x:c>
      <x:c s="15" r="V20" t="n">
        <x:v>21.7</x:v>
      </x:c>
      <x:c s="15" r="W20" t="n">
        <x:v>12.9</x:v>
      </x:c>
      <x:c s="15" r="X20" t="n">
        <x:v>10.6</x:v>
      </x:c>
      <x:c s="15" r="Y20" t="n">
        <x:v>9.5</x:v>
      </x:c>
      <x:c s="15" r="Z20" t="n">
        <x:v>8.4</x:v>
      </x:c>
      <x:c s="15" r="AA20" t="n">
        <x:v>7.3</x:v>
      </x:c>
      <x:c s="15" r="AB20" t="n">
        <x:v>6.2</x:v>
      </x:c>
    </x:row>
    <x:row r="21">
      <x:c r="A21" t="inlineStr">
        <x:is>
          <x:t xml:space="preserve">DeepSeek</x:t>
        </x:is>
      </x:c>
      <x:c s="14" r="B21" t="inlineStr">
        <x:is>
          <x:t xml:space="preserve">deepseek-ai/DeepSeek-Prover-V1.5-RL</x:t>
        </x:is>
      </x:c>
      <x:c s="14" r="C21" t="inlineStr">
        <x:is>
          <x:t xml:space="preserve">DeepSeek-Prover-V1.5-RL</x:t>
        </x:is>
      </x:c>
      <x:c s="15" r="D21" t="n">
        <x:v>7</x:v>
      </x:c>
      <x:c s="15" r="E21"/>
      <x:c s="14" r="F21" t="inlineStr">
        <x:is>
          <x:t xml:space="preserve">theorem proving</x:t>
        </x:is>
      </x:c>
      <x:c s="14" r="G21" t="inlineStr">
        <x:is>
          <x:t xml:space="preserve">text</x:t>
        </x:is>
      </x:c>
      <x:c r="H21" t="inlineStr">
        <x:is>
          <x:t xml:space="preserve">rl</x:t>
        </x:is>
      </x:c>
      <x:c r="I21" t="inlineStr">
        <x:is>
          <x:t xml:space="preserve">Dense</x:t>
        </x:is>
      </x:c>
      <x:c s="16" r="J21" t="inlineStr">
        <x:is>
          <x:t xml:space="preserve">open</x:t>
        </x:is>
      </x:c>
      <x:c s="17" r="K21" t="inlineStr">
        <x:is>
          <x:t xml:space="preserve">https://huggingface.co/deepseek-ai/DeepSeek-Prover-V1.5-RL</x:t>
        </x:is>
      </x:c>
      <x:c s="17" r="L21" t="inlineStr">
        <x:is>
          <x:t xml:space="preserve"/>
        </x:is>
      </x:c>
      <x:c s="14" r="M21" t="inlineStr">
        <x:is>
          <x:t xml:space="preserve">BF16/FP16</x:t>
        </x:is>
      </x:c>
      <x:c s="15" r="N21" t="n">
        <x:v>21.7</x:v>
      </x:c>
      <x:c s="14" r="O21" t="inlineStr">
        <x:is>
          <x:t xml:space="preserve">BF16/FP16</x:t>
        </x:is>
      </x:c>
      <x:c s="15" r="P21" t="n">
        <x:v>21.7</x:v>
      </x:c>
      <x:c s="14" r="Q21" t="inlineStr">
        <x:is>
          <x:t xml:space="preserve">Comfortable</x:t>
        </x:is>
      </x:c>
      <x:c s="18" r="R21" t="inlineStr">
        <x:is>
          <x:t xml:space="preserve">Specialized theorem-proving model.</x:t>
        </x:is>
      </x:c>
      <x:c s="14" r="S21" t="inlineStr">
        <x:is>
          <x:t xml:space="preserve">stable_series_pattern</x:t>
        </x:is>
      </x:c>
      <x:c s="17" r="T21" t="inlineStr">
        <x:is>
          <x:t xml:space="preserve">https://huggingface.co/deepseek-ai</x:t>
        </x:is>
      </x:c>
      <x:c s="14" r="U21" t="inlineStr">
        <x:is>
          <x:t xml:space="preserve">Transformers; community GGUF/AWQ</x:t>
        </x:is>
      </x:c>
      <x:c s="15" r="V21" t="n">
        <x:v>21.7</x:v>
      </x:c>
      <x:c s="15" r="W21" t="n">
        <x:v>12.9</x:v>
      </x:c>
      <x:c s="15" r="X21" t="n">
        <x:v>10.6</x:v>
      </x:c>
      <x:c s="15" r="Y21" t="n">
        <x:v>9.5</x:v>
      </x:c>
      <x:c s="15" r="Z21" t="n">
        <x:v>8.4</x:v>
      </x:c>
      <x:c s="15" r="AA21" t="n">
        <x:v>7.3</x:v>
      </x:c>
      <x:c s="15" r="AB21" t="n">
        <x:v>6.2</x:v>
      </x:c>
    </x:row>
    <x:row r="22">
      <x:c r="A22" t="inlineStr">
        <x:is>
          <x:t xml:space="preserve">DeepSeek</x:t>
        </x:is>
      </x:c>
      <x:c s="14" r="B22" t="inlineStr">
        <x:is>
          <x:t xml:space="preserve">deepseek-ai/DeepSeek-Prover-V1.5-SFT</x:t>
        </x:is>
      </x:c>
      <x:c s="14" r="C22" t="inlineStr">
        <x:is>
          <x:t xml:space="preserve">DeepSeek-Prover-V1.5-SFT</x:t>
        </x:is>
      </x:c>
      <x:c s="15" r="D22" t="n">
        <x:v>7</x:v>
      </x:c>
      <x:c s="15" r="E22"/>
      <x:c s="14" r="F22" t="inlineStr">
        <x:is>
          <x:t xml:space="preserve">theorem proving</x:t>
        </x:is>
      </x:c>
      <x:c s="14" r="G22" t="inlineStr">
        <x:is>
          <x:t xml:space="preserve">text</x:t>
        </x:is>
      </x:c>
      <x:c r="H22" t="inlineStr">
        <x:is>
          <x:t xml:space="preserve">sft</x:t>
        </x:is>
      </x:c>
      <x:c r="I22" t="inlineStr">
        <x:is>
          <x:t xml:space="preserve">Dense</x:t>
        </x:is>
      </x:c>
      <x:c s="16" r="J22" t="inlineStr">
        <x:is>
          <x:t xml:space="preserve">open</x:t>
        </x:is>
      </x:c>
      <x:c s="17" r="K22" t="inlineStr">
        <x:is>
          <x:t xml:space="preserve">https://huggingface.co/deepseek-ai/DeepSeek-Prover-V1.5-SFT</x:t>
        </x:is>
      </x:c>
      <x:c s="17" r="L22" t="inlineStr">
        <x:is>
          <x:t xml:space="preserve"/>
        </x:is>
      </x:c>
      <x:c s="14" r="M22" t="inlineStr">
        <x:is>
          <x:t xml:space="preserve">BF16/FP16</x:t>
        </x:is>
      </x:c>
      <x:c s="15" r="N22" t="n">
        <x:v>21.7</x:v>
      </x:c>
      <x:c s="14" r="O22" t="inlineStr">
        <x:is>
          <x:t xml:space="preserve">BF16/FP16</x:t>
        </x:is>
      </x:c>
      <x:c s="15" r="P22" t="n">
        <x:v>21.7</x:v>
      </x:c>
      <x:c s="14" r="Q22" t="inlineStr">
        <x:is>
          <x:t xml:space="preserve">Comfortable</x:t>
        </x:is>
      </x:c>
      <x:c s="18" r="R22" t="inlineStr">
        <x:is>
          <x:t xml:space="preserve">Specialized theorem-proving model.</x:t>
        </x:is>
      </x:c>
      <x:c s="14" r="S22" t="inlineStr">
        <x:is>
          <x:t xml:space="preserve">stable_series_pattern</x:t>
        </x:is>
      </x:c>
      <x:c s="17" r="T22" t="inlineStr">
        <x:is>
          <x:t xml:space="preserve">https://huggingface.co/deepseek-ai</x:t>
        </x:is>
      </x:c>
      <x:c s="14" r="U22" t="inlineStr">
        <x:is>
          <x:t xml:space="preserve">Transformers; community GGUF/AWQ</x:t>
        </x:is>
      </x:c>
      <x:c s="15" r="V22" t="n">
        <x:v>21.7</x:v>
      </x:c>
      <x:c s="15" r="W22" t="n">
        <x:v>12.9</x:v>
      </x:c>
      <x:c s="15" r="X22" t="n">
        <x:v>10.6</x:v>
      </x:c>
      <x:c s="15" r="Y22" t="n">
        <x:v>9.5</x:v>
      </x:c>
      <x:c s="15" r="Z22" t="n">
        <x:v>8.4</x:v>
      </x:c>
      <x:c s="15" r="AA22" t="n">
        <x:v>7.3</x:v>
      </x:c>
      <x:c s="15" r="AB22" t="n">
        <x:v>6.2</x:v>
      </x:c>
    </x:row>
    <x:row r="23">
      <x:c r="A23" t="inlineStr">
        <x:is>
          <x:t xml:space="preserve">DeepSeek</x:t>
        </x:is>
      </x:c>
      <x:c s="14" r="B23" t="inlineStr">
        <x:is>
          <x:t xml:space="preserve">deepseek-ai/DeepSeek-Prover-V2-7B</x:t>
        </x:is>
      </x:c>
      <x:c s="14" r="C23" t="inlineStr">
        <x:is>
          <x:t xml:space="preserve">DeepSeek-Prover-V2-7B</x:t>
        </x:is>
      </x:c>
      <x:c s="15" r="D23" t="n">
        <x:v>7</x:v>
      </x:c>
      <x:c s="15" r="E23"/>
      <x:c s="14" r="F23" t="inlineStr">
        <x:is>
          <x:t xml:space="preserve">theorem proving</x:t>
        </x:is>
      </x:c>
      <x:c s="14" r="G23" t="inlineStr">
        <x:is>
          <x:t xml:space="preserve">text</x:t>
        </x:is>
      </x:c>
      <x:c r="H23" t="inlineStr">
        <x:is>
          <x:t xml:space="preserve">specialized</x:t>
        </x:is>
      </x:c>
      <x:c r="I23" t="inlineStr">
        <x:is>
          <x:t xml:space="preserve">Dense</x:t>
        </x:is>
      </x:c>
      <x:c s="16" r="J23" t="inlineStr">
        <x:is>
          <x:t xml:space="preserve">open</x:t>
        </x:is>
      </x:c>
      <x:c s="17" r="K23" t="inlineStr">
        <x:is>
          <x:t xml:space="preserve">https://huggingface.co/deepseek-ai/DeepSeek-Prover-V2-7B</x:t>
        </x:is>
      </x:c>
      <x:c s="17" r="L23" t="inlineStr">
        <x:is>
          <x:t xml:space="preserve"/>
        </x:is>
      </x:c>
      <x:c s="14" r="M23" t="inlineStr">
        <x:is>
          <x:t xml:space="preserve">BF16/FP16</x:t>
        </x:is>
      </x:c>
      <x:c s="15" r="N23" t="n">
        <x:v>21.7</x:v>
      </x:c>
      <x:c s="14" r="O23" t="inlineStr">
        <x:is>
          <x:t xml:space="preserve">BF16/FP16</x:t>
        </x:is>
      </x:c>
      <x:c s="15" r="P23" t="n">
        <x:v>21.7</x:v>
      </x:c>
      <x:c s="14" r="Q23" t="inlineStr">
        <x:is>
          <x:t xml:space="preserve">Comfortable</x:t>
        </x:is>
      </x:c>
      <x:c s="18" r="R23" t="inlineStr">
        <x:is>
          <x:t xml:space="preserve">Specialized theorem-proving model.</x:t>
        </x:is>
      </x:c>
      <x:c s="14" r="S23" t="inlineStr">
        <x:is>
          <x:t xml:space="preserve">stable_series_pattern</x:t>
        </x:is>
      </x:c>
      <x:c s="17" r="T23" t="inlineStr">
        <x:is>
          <x:t xml:space="preserve">https://huggingface.co/deepseek-ai</x:t>
        </x:is>
      </x:c>
      <x:c s="14" r="U23" t="inlineStr">
        <x:is>
          <x:t xml:space="preserve">Transformers; community GGUF/AWQ</x:t>
        </x:is>
      </x:c>
      <x:c s="15" r="V23" t="n">
        <x:v>21.7</x:v>
      </x:c>
      <x:c s="15" r="W23" t="n">
        <x:v>12.9</x:v>
      </x:c>
      <x:c s="15" r="X23" t="n">
        <x:v>10.6</x:v>
      </x:c>
      <x:c s="15" r="Y23" t="n">
        <x:v>9.5</x:v>
      </x:c>
      <x:c s="15" r="Z23" t="n">
        <x:v>8.4</x:v>
      </x:c>
      <x:c s="15" r="AA23" t="n">
        <x:v>7.3</x:v>
      </x:c>
      <x:c s="15" r="AB23" t="n">
        <x:v>6.2</x:v>
      </x:c>
    </x:row>
    <x:row r="24">
      <x:c r="A24" t="inlineStr">
        <x:is>
          <x:t xml:space="preserve">DeepSeek</x:t>
        </x:is>
      </x:c>
      <x:c s="14" r="B24" t="inlineStr">
        <x:is>
          <x:t xml:space="preserve">deepseek-ai/DeepSeek-R1-Distill-Qwen-7B</x:t>
        </x:is>
      </x:c>
      <x:c s="14" r="C24" t="inlineStr">
        <x:is>
          <x:t xml:space="preserve">DeepSeek-R1-Distill-Qwen-7B</x:t>
        </x:is>
      </x:c>
      <x:c s="15" r="D24" t="n">
        <x:v>7</x:v>
      </x:c>
      <x:c s="15" r="E24"/>
      <x:c s="14" r="F24" t="inlineStr">
        <x:is>
          <x:t xml:space="preserve">reasoning</x:t>
        </x:is>
      </x:c>
      <x:c s="14" r="G24" t="inlineStr">
        <x:is>
          <x:t xml:space="preserve">text</x:t>
        </x:is>
      </x:c>
      <x:c r="H24" t="inlineStr">
        <x:is>
          <x:t xml:space="preserve">distill</x:t>
        </x:is>
      </x:c>
      <x:c r="I24" t="inlineStr">
        <x:is>
          <x:t xml:space="preserve">Dense</x:t>
        </x:is>
      </x:c>
      <x:c s="16" r="J24" t="inlineStr">
        <x:is>
          <x:t xml:space="preserve">open</x:t>
        </x:is>
      </x:c>
      <x:c s="17" r="K24" t="inlineStr">
        <x:is>
          <x:t xml:space="preserve">https://huggingface.co/deepseek-ai/DeepSeek-R1-Distill-Qwen-7B</x:t>
        </x:is>
      </x:c>
      <x:c s="17" r="L24" t="inlineStr">
        <x:is>
          <x:t xml:space="preserve"/>
        </x:is>
      </x:c>
      <x:c s="14" r="M24" t="inlineStr">
        <x:is>
          <x:t xml:space="preserve">BF16/FP16</x:t>
        </x:is>
      </x:c>
      <x:c s="15" r="N24" t="n">
        <x:v>21.7</x:v>
      </x:c>
      <x:c s="14" r="O24" t="inlineStr">
        <x:is>
          <x:t xml:space="preserve">BF16/FP16</x:t>
        </x:is>
      </x:c>
      <x:c s="15" r="P24" t="n">
        <x:v>21.7</x:v>
      </x:c>
      <x:c s="14" r="Q24" t="inlineStr">
        <x:is>
          <x:t xml:space="preserve">Comfortable</x:t>
        </x:is>
      </x:c>
      <x:c s="18" r="R24" t="inlineStr">
        <x:is>
          <x:t xml:space="preserve">R1-distilled reasoning model.</x:t>
        </x:is>
      </x:c>
      <x:c s="14" r="S24" t="inlineStr">
        <x:is>
          <x:t xml:space="preserve">current_repo_page_2026-03-27</x:t>
        </x:is>
      </x:c>
      <x:c s="17" r="T24" t="inlineStr">
        <x:is>
          <x:t xml:space="preserve">https://huggingface.co/deepseek-ai</x:t>
        </x:is>
      </x:c>
      <x:c s="14" r="U24" t="inlineStr">
        <x:is>
          <x:t xml:space="preserve">Transformers; community GGUF/AWQ</x:t>
        </x:is>
      </x:c>
      <x:c s="15" r="V24" t="n">
        <x:v>21.7</x:v>
      </x:c>
      <x:c s="15" r="W24" t="n">
        <x:v>12.9</x:v>
      </x:c>
      <x:c s="15" r="X24" t="n">
        <x:v>10.6</x:v>
      </x:c>
      <x:c s="15" r="Y24" t="n">
        <x:v>9.5</x:v>
      </x:c>
      <x:c s="15" r="Z24" t="n">
        <x:v>8.4</x:v>
      </x:c>
      <x:c s="15" r="AA24" t="n">
        <x:v>7.3</x:v>
      </x:c>
      <x:c s="15" r="AB24" t="n">
        <x:v>6.2</x:v>
      </x:c>
    </x:row>
    <x:row r="25">
      <x:c r="A25" t="inlineStr">
        <x:is>
          <x:t xml:space="preserve">DeepSeek</x:t>
        </x:is>
      </x:c>
      <x:c s="14" r="B25" t="inlineStr">
        <x:is>
          <x:t xml:space="preserve">deepseek-ai/DeepSeek-R1-Distill-Qwen-1.5B</x:t>
        </x:is>
      </x:c>
      <x:c s="14" r="C25" t="inlineStr">
        <x:is>
          <x:t xml:space="preserve">DeepSeek-R1-Distill-Qwen-1.5B</x:t>
        </x:is>
      </x:c>
      <x:c s="15" r="D25" t="n">
        <x:v>1.5</x:v>
      </x:c>
      <x:c s="15" r="E25"/>
      <x:c s="14" r="F25" t="inlineStr">
        <x:is>
          <x:t xml:space="preserve">reasoning</x:t>
        </x:is>
      </x:c>
      <x:c s="14" r="G25" t="inlineStr">
        <x:is>
          <x:t xml:space="preserve">text</x:t>
        </x:is>
      </x:c>
      <x:c r="H25" t="inlineStr">
        <x:is>
          <x:t xml:space="preserve">distill</x:t>
        </x:is>
      </x:c>
      <x:c r="I25" t="inlineStr">
        <x:is>
          <x:t xml:space="preserve">Dense</x:t>
        </x:is>
      </x:c>
      <x:c s="16" r="J25" t="inlineStr">
        <x:is>
          <x:t xml:space="preserve">open</x:t>
        </x:is>
      </x:c>
      <x:c s="17" r="K25" t="inlineStr">
        <x:is>
          <x:t xml:space="preserve">https://huggingface.co/deepseek-ai/DeepSeek-R1-Distill-Qwen-1.5B</x:t>
        </x:is>
      </x:c>
      <x:c s="17" r="L25" t="inlineStr">
        <x:is>
          <x:t xml:space="preserve"/>
        </x:is>
      </x:c>
      <x:c s="14" r="M25" t="inlineStr">
        <x:is>
          <x:t xml:space="preserve">BF16/FP16</x:t>
        </x:is>
      </x:c>
      <x:c s="15" r="N25" t="n">
        <x:v>7.8</x:v>
      </x:c>
      <x:c s="14" r="O25" t="inlineStr">
        <x:is>
          <x:t xml:space="preserve">BF16/FP16</x:t>
        </x:is>
      </x:c>
      <x:c s="15" r="P25" t="n">
        <x:v>7.8</x:v>
      </x:c>
      <x:c s="14" r="Q25" t="inlineStr">
        <x:is>
          <x:t xml:space="preserve">Comfortable</x:t>
        </x:is>
      </x:c>
      <x:c s="18" r="R25" t="inlineStr">
        <x:is>
          <x:t xml:space="preserve">R1-distilled reasoning model.</x:t>
        </x:is>
      </x:c>
      <x:c s="14" r="S25" t="inlineStr">
        <x:is>
          <x:t xml:space="preserve">current_repo_page_2026-03-27</x:t>
        </x:is>
      </x:c>
      <x:c s="17" r="T25" t="inlineStr">
        <x:is>
          <x:t xml:space="preserve">https://huggingface.co/deepseek-ai</x:t>
        </x:is>
      </x:c>
      <x:c s="14" r="U25" t="inlineStr">
        <x:is>
          <x:t xml:space="preserve">Transformers; community GGUF/AWQ</x:t>
        </x:is>
      </x:c>
      <x:c s="15" r="V25" t="n">
        <x:v>7.8</x:v>
      </x:c>
      <x:c s="15" r="W25" t="n">
        <x:v>5.9</x:v>
      </x:c>
      <x:c s="15" r="X25" t="n">
        <x:v>5.4</x:v>
      </x:c>
      <x:c s="15" r="Y25" t="n">
        <x:v>5.2</x:v>
      </x:c>
      <x:c s="15" r="Z25" t="n">
        <x:v>4.9</x:v>
      </x:c>
      <x:c s="15" r="AA25" t="n">
        <x:v>4.7</x:v>
      </x:c>
      <x:c s="15" r="AB25" t="n">
        <x:v>4.5</x:v>
      </x:c>
    </x:row>
    <x:row r="26">
      <x:c r="A26" t="inlineStr">
        <x:is>
          <x:t xml:space="preserve">Google Gemma</x:t>
        </x:is>
      </x:c>
      <x:c s="14" r="B26" t="inlineStr">
        <x:is>
          <x:t xml:space="preserve">google/gemma-4-31B</x:t>
        </x:is>
      </x:c>
      <x:c s="14" r="C26" t="inlineStr">
        <x:is>
          <x:t xml:space="preserve">gemma-4-31B</x:t>
        </x:is>
      </x:c>
      <x:c s="15" r="D26" t="n">
        <x:v>30.7</x:v>
      </x:c>
      <x:c s="15" r="E26"/>
      <x:c s="14" r="F26" t="inlineStr">
        <x:is>
          <x:t xml:space="preserve">general</x:t>
        </x:is>
      </x:c>
      <x:c s="14" r="G26" t="inlineStr">
        <x:is>
          <x:t xml:space="preserve">text+vision</x:t>
        </x:is>
      </x:c>
      <x:c r="H26" t="inlineStr">
        <x:is>
          <x:t xml:space="preserve">base</x:t>
        </x:is>
      </x:c>
      <x:c r="I26" t="inlineStr">
        <x:is>
          <x:t xml:space="preserve">Dense</x:t>
        </x:is>
      </x:c>
      <x:c s="16" r="J26" t="inlineStr">
        <x:is>
          <x:t xml:space="preserve">gated</x:t>
        </x:is>
      </x:c>
      <x:c s="17" r="K26" t="inlineStr">
        <x:is>
          <x:t xml:space="preserve">https://huggingface.co/google/gemma-4-31B</x:t>
        </x:is>
      </x:c>
      <x:c s="17" r="L26" t="inlineStr">
        <x:is>
          <x:t xml:space="preserve"/>
        </x:is>
      </x:c>
      <x:c s="14" r="M26" t="inlineStr">
        <x:is>
          <x:t xml:space="preserve">BF16/FP16</x:t>
        </x:is>
      </x:c>
      <x:c s="15" r="N26" t="n">
        <x:v>81.7</x:v>
      </x:c>
      <x:c s="14" r="O26" t="inlineStr">
        <x:is>
          <x:t xml:space="preserve">BF16/FP16</x:t>
        </x:is>
      </x:c>
      <x:c s="15" r="P26" t="n">
        <x:v>81.7</x:v>
      </x:c>
      <x:c s="14" r="Q26" t="inlineStr">
        <x:is>
          <x:t xml:space="preserve">Near limit</x:t>
        </x:is>
      </x:c>
      <x:c s="18" r="R26" t="inlineStr">
        <x:is>
          <x:t xml:space="preserve">Gemma 4 dense multimodal family.</x:t>
        </x:is>
      </x:c>
      <x:c s="14" r="S26" t="inlineStr">
        <x:is>
          <x:t xml:space="preserve">current_repo_page_2026-04-21</x:t>
        </x:is>
      </x:c>
      <x:c s="17" r="T26" t="inlineStr">
        <x:is>
          <x:t xml:space="preserve">https://huggingface.co/google</x:t>
        </x:is>
      </x:c>
      <x:c s="14" r="U26" t="inlineStr">
        <x:is>
          <x:t xml:space="preserve">Transformers; GGUF/MLX</x:t>
        </x:is>
      </x:c>
      <x:c s="15" r="V26" t="n">
        <x:v>81.7</x:v>
      </x:c>
      <x:c s="15" r="W26" t="n">
        <x:v>42.8</x:v>
      </x:c>
      <x:c s="15" r="X26" t="n">
        <x:v>33.1</x:v>
      </x:c>
      <x:c s="15" r="Y26" t="n">
        <x:v>28.3</x:v>
      </x:c>
      <x:c s="15" r="Z26" t="n">
        <x:v>23.4</x:v>
      </x:c>
      <x:c s="15" r="AA26" t="n">
        <x:v>18.6</x:v>
      </x:c>
      <x:c s="15" r="AB26" t="n">
        <x:v>13.7</x:v>
      </x:c>
    </x:row>
    <x:row r="27">
      <x:c r="A27" t="inlineStr">
        <x:is>
          <x:t xml:space="preserve">Google Gemma</x:t>
        </x:is>
      </x:c>
      <x:c s="14" r="B27" t="inlineStr">
        <x:is>
          <x:t xml:space="preserve">google/gemma-4-31B-it</x:t>
        </x:is>
      </x:c>
      <x:c s="14" r="C27" t="inlineStr">
        <x:is>
          <x:t xml:space="preserve">gemma-4-31B-it</x:t>
        </x:is>
      </x:c>
      <x:c s="15" r="D27" t="n">
        <x:v>30.7</x:v>
      </x:c>
      <x:c s="15" r="E27"/>
      <x:c s="14" r="F27" t="inlineStr">
        <x:is>
          <x:t xml:space="preserve">general chat</x:t>
        </x:is>
      </x:c>
      <x:c s="14" r="G27" t="inlineStr">
        <x:is>
          <x:t xml:space="preserve">text+vision</x:t>
        </x:is>
      </x:c>
      <x:c r="H27" t="inlineStr">
        <x:is>
          <x:t xml:space="preserve">instruct</x:t>
        </x:is>
      </x:c>
      <x:c r="I27" t="inlineStr">
        <x:is>
          <x:t xml:space="preserve">Dense</x:t>
        </x:is>
      </x:c>
      <x:c s="16" r="J27" t="inlineStr">
        <x:is>
          <x:t xml:space="preserve">gated</x:t>
        </x:is>
      </x:c>
      <x:c s="17" r="K27" t="inlineStr">
        <x:is>
          <x:t xml:space="preserve">https://huggingface.co/google/gemma-4-31B-it</x:t>
        </x:is>
      </x:c>
      <x:c s="17" r="L27" t="inlineStr">
        <x:is>
          <x:t xml:space="preserve">https://huggingface.co/ggml-org/gemma-4-31B-it-GGUF</x:t>
        </x:is>
      </x:c>
      <x:c s="14" r="M27" t="inlineStr">
        <x:is>
          <x:t xml:space="preserve">BF16/FP16</x:t>
        </x:is>
      </x:c>
      <x:c s="15" r="N27" t="n">
        <x:v>81.7</x:v>
      </x:c>
      <x:c s="14" r="O27" t="inlineStr">
        <x:is>
          <x:t xml:space="preserve">BF16/FP16</x:t>
        </x:is>
      </x:c>
      <x:c s="15" r="P27" t="n">
        <x:v>81.7</x:v>
      </x:c>
      <x:c s="14" r="Q27" t="inlineStr">
        <x:is>
          <x:t xml:space="preserve">Near limit</x:t>
        </x:is>
      </x:c>
      <x:c s="18" r="R27" t="inlineStr">
        <x:is>
          <x:t xml:space="preserve">Gemma 4 dense multimodal family; official GGUF available.</x:t>
        </x:is>
      </x:c>
      <x:c s="14" r="S27" t="inlineStr">
        <x:is>
          <x:t xml:space="preserve">current_repo_page_2026-04-21</x:t>
        </x:is>
      </x:c>
      <x:c s="17" r="T27" t="inlineStr">
        <x:is>
          <x:t xml:space="preserve">https://huggingface.co/google</x:t>
        </x:is>
      </x:c>
      <x:c s="14" r="U27" t="inlineStr">
        <x:is>
          <x:t xml:space="preserve">Transformers; GGUF/MLX</x:t>
        </x:is>
      </x:c>
      <x:c s="15" r="V27" t="n">
        <x:v>81.7</x:v>
      </x:c>
      <x:c s="15" r="W27" t="n">
        <x:v>42.8</x:v>
      </x:c>
      <x:c s="15" r="X27" t="n">
        <x:v>33.1</x:v>
      </x:c>
      <x:c s="15" r="Y27" t="n">
        <x:v>28.3</x:v>
      </x:c>
      <x:c s="15" r="Z27" t="n">
        <x:v>23.4</x:v>
      </x:c>
      <x:c s="15" r="AA27" t="n">
        <x:v>18.6</x:v>
      </x:c>
      <x:c s="15" r="AB27" t="n">
        <x:v>13.7</x:v>
      </x:c>
    </x:row>
    <x:row r="28">
      <x:c r="A28" t="inlineStr">
        <x:is>
          <x:t xml:space="preserve">Google Gemma</x:t>
        </x:is>
      </x:c>
      <x:c s="14" r="B28" t="inlineStr">
        <x:is>
          <x:t xml:space="preserve">google/gemma-4-26B-A4B</x:t>
        </x:is>
      </x:c>
      <x:c s="14" r="C28" t="inlineStr">
        <x:is>
          <x:t xml:space="preserve">gemma-4-26B-A4B</x:t>
        </x:is>
      </x:c>
      <x:c s="15" r="D28" t="n">
        <x:v>25.2</x:v>
      </x:c>
      <x:c s="15" r="E28" t="n">
        <x:v>3.8</x:v>
      </x:c>
      <x:c s="14" r="F28" t="inlineStr">
        <x:is>
          <x:t xml:space="preserve">general</x:t>
        </x:is>
      </x:c>
      <x:c s="14" r="G28" t="inlineStr">
        <x:is>
          <x:t xml:space="preserve">text+vision</x:t>
        </x:is>
      </x:c>
      <x:c r="H28" t="inlineStr">
        <x:is>
          <x:t xml:space="preserve">base</x:t>
        </x:is>
      </x:c>
      <x:c r="I28" t="inlineStr">
        <x:is>
          <x:t xml:space="preserve">MoE</x:t>
        </x:is>
      </x:c>
      <x:c s="16" r="J28" t="inlineStr">
        <x:is>
          <x:t xml:space="preserve">gated</x:t>
        </x:is>
      </x:c>
      <x:c s="17" r="K28" t="inlineStr">
        <x:is>
          <x:t xml:space="preserve">https://huggingface.co/google/gemma-4-26B-A4B</x:t>
        </x:is>
      </x:c>
      <x:c s="17" r="L28" t="inlineStr">
        <x:is>
          <x:t xml:space="preserve"/>
        </x:is>
      </x:c>
      <x:c s="14" r="M28" t="inlineStr">
        <x:is>
          <x:t xml:space="preserve">BF16/FP16</x:t>
        </x:is>
      </x:c>
      <x:c s="15" r="N28" t="n">
        <x:v>70.5</x:v>
      </x:c>
      <x:c s="14" r="O28" t="inlineStr">
        <x:is>
          <x:t xml:space="preserve">BF16/FP16</x:t>
        </x:is>
      </x:c>
      <x:c s="15" r="P28" t="n">
        <x:v>70.5</x:v>
      </x:c>
      <x:c s="14" r="Q28" t="inlineStr">
        <x:is>
          <x:t xml:space="preserve">Comfortable</x:t>
        </x:is>
      </x:c>
      <x:c s="18" r="R28" t="inlineStr">
        <x:is>
          <x:t xml:space="preserve">Gemma 4 MoE multimodal family.</x:t>
        </x:is>
      </x:c>
      <x:c s="14" r="S28" t="inlineStr">
        <x:is>
          <x:t xml:space="preserve">current_repo_page_2026-04-21</x:t>
        </x:is>
      </x:c>
      <x:c s="17" r="T28" t="inlineStr">
        <x:is>
          <x:t xml:space="preserve">https://huggingface.co/google</x:t>
        </x:is>
      </x:c>
      <x:c s="14" r="U28" t="inlineStr">
        <x:is>
          <x:t xml:space="preserve">Transformers; GGUF/MLX</x:t>
        </x:is>
      </x:c>
      <x:c s="15" r="V28" t="n">
        <x:v>70.5</x:v>
      </x:c>
      <x:c s="15" r="W28" t="n">
        <x:v>37.3</x:v>
      </x:c>
      <x:c s="15" r="X28" t="n">
        <x:v>28.9</x:v>
      </x:c>
      <x:c s="15" r="Y28" t="n">
        <x:v>24.8</x:v>
      </x:c>
      <x:c s="15" r="Z28" t="n">
        <x:v>20.6</x:v>
      </x:c>
      <x:c s="15" r="AA28" t="n">
        <x:v>16.5</x:v>
      </x:c>
      <x:c s="15" r="AB28" t="n">
        <x:v>12.3</x:v>
      </x:c>
    </x:row>
    <x:row r="29">
      <x:c r="A29" t="inlineStr">
        <x:is>
          <x:t xml:space="preserve">Google Gemma</x:t>
        </x:is>
      </x:c>
      <x:c s="14" r="B29" t="inlineStr">
        <x:is>
          <x:t xml:space="preserve">google/gemma-4-26B-A4B-it</x:t>
        </x:is>
      </x:c>
      <x:c s="14" r="C29" t="inlineStr">
        <x:is>
          <x:t xml:space="preserve">gemma-4-26B-A4B-it</x:t>
        </x:is>
      </x:c>
      <x:c s="15" r="D29" t="n">
        <x:v>25.2</x:v>
      </x:c>
      <x:c s="15" r="E29" t="n">
        <x:v>3.8</x:v>
      </x:c>
      <x:c s="14" r="F29" t="inlineStr">
        <x:is>
          <x:t xml:space="preserve">general chat</x:t>
        </x:is>
      </x:c>
      <x:c s="14" r="G29" t="inlineStr">
        <x:is>
          <x:t xml:space="preserve">text+vision</x:t>
        </x:is>
      </x:c>
      <x:c r="H29" t="inlineStr">
        <x:is>
          <x:t xml:space="preserve">instruct</x:t>
        </x:is>
      </x:c>
      <x:c r="I29" t="inlineStr">
        <x:is>
          <x:t xml:space="preserve">MoE</x:t>
        </x:is>
      </x:c>
      <x:c s="16" r="J29" t="inlineStr">
        <x:is>
          <x:t xml:space="preserve">gated</x:t>
        </x:is>
      </x:c>
      <x:c s="17" r="K29" t="inlineStr">
        <x:is>
          <x:t xml:space="preserve">https://huggingface.co/google/gemma-4-26B-A4B-it</x:t>
        </x:is>
      </x:c>
      <x:c s="17" r="L29" t="inlineStr">
        <x:is>
          <x:t xml:space="preserve">https://huggingface.co/ggml-org/gemma-4-26B-A4B-it-GGUF</x:t>
        </x:is>
      </x:c>
      <x:c s="14" r="M29" t="inlineStr">
        <x:is>
          <x:t xml:space="preserve">BF16/FP16</x:t>
        </x:is>
      </x:c>
      <x:c s="15" r="N29" t="n">
        <x:v>70.5</x:v>
      </x:c>
      <x:c s="14" r="O29" t="inlineStr">
        <x:is>
          <x:t xml:space="preserve">BF16/FP16</x:t>
        </x:is>
      </x:c>
      <x:c s="15" r="P29" t="n">
        <x:v>70.5</x:v>
      </x:c>
      <x:c s="14" r="Q29" t="inlineStr">
        <x:is>
          <x:t xml:space="preserve">Comfortable</x:t>
        </x:is>
      </x:c>
      <x:c s="18" r="R29" t="inlineStr">
        <x:is>
          <x:t xml:space="preserve">Gemma 4 MoE multimodal family; official GGUF available.</x:t>
        </x:is>
      </x:c>
      <x:c s="14" r="S29" t="inlineStr">
        <x:is>
          <x:t xml:space="preserve">current_repo_page_2026-04-21</x:t>
        </x:is>
      </x:c>
      <x:c s="17" r="T29" t="inlineStr">
        <x:is>
          <x:t xml:space="preserve">https://huggingface.co/google</x:t>
        </x:is>
      </x:c>
      <x:c s="14" r="U29" t="inlineStr">
        <x:is>
          <x:t xml:space="preserve">Transformers; GGUF/MLX</x:t>
        </x:is>
      </x:c>
      <x:c s="15" r="V29" t="n">
        <x:v>70.5</x:v>
      </x:c>
      <x:c s="15" r="W29" t="n">
        <x:v>37.3</x:v>
      </x:c>
      <x:c s="15" r="X29" t="n">
        <x:v>28.9</x:v>
      </x:c>
      <x:c s="15" r="Y29" t="n">
        <x:v>24.8</x:v>
      </x:c>
      <x:c s="15" r="Z29" t="n">
        <x:v>20.6</x:v>
      </x:c>
      <x:c s="15" r="AA29" t="n">
        <x:v>16.5</x:v>
      </x:c>
      <x:c s="15" r="AB29" t="n">
        <x:v>12.3</x:v>
      </x:c>
    </x:row>
    <x:row r="30">
      <x:c r="A30" t="inlineStr">
        <x:is>
          <x:t xml:space="preserve">Google Gemma</x:t>
        </x:is>
      </x:c>
      <x:c s="14" r="B30" t="inlineStr">
        <x:is>
          <x:t xml:space="preserve">google/gemma-4-E4B</x:t>
        </x:is>
      </x:c>
      <x:c s="14" r="C30" t="inlineStr">
        <x:is>
          <x:t xml:space="preserve">gemma-4-E4B</x:t>
        </x:is>
      </x:c>
      <x:c s="15" r="D30" t="n">
        <x:v>8</x:v>
      </x:c>
      <x:c s="15" r="E30"/>
      <x:c s="14" r="F30" t="inlineStr">
        <x:is>
          <x:t xml:space="preserve">general</x:t>
        </x:is>
      </x:c>
      <x:c s="14" r="G30" t="inlineStr">
        <x:is>
          <x:t xml:space="preserve">text+vision+audio</x:t>
        </x:is>
      </x:c>
      <x:c r="H30" t="inlineStr">
        <x:is>
          <x:t xml:space="preserve">base</x:t>
        </x:is>
      </x:c>
      <x:c r="I30" t="inlineStr">
        <x:is>
          <x:t xml:space="preserve">Dense</x:t>
        </x:is>
      </x:c>
      <x:c s="16" r="J30" t="inlineStr">
        <x:is>
          <x:t xml:space="preserve">gated</x:t>
        </x:is>
      </x:c>
      <x:c s="17" r="K30" t="inlineStr">
        <x:is>
          <x:t xml:space="preserve">https://huggingface.co/google/gemma-4-E4B</x:t>
        </x:is>
      </x:c>
      <x:c s="17" r="L30" t="inlineStr">
        <x:is>
          <x:t xml:space="preserve"/>
        </x:is>
      </x:c>
      <x:c s="14" r="M30" t="inlineStr">
        <x:is>
          <x:t xml:space="preserve">BF16/FP16</x:t>
        </x:is>
      </x:c>
      <x:c s="15" r="N30" t="n">
        <x:v>24.2</x:v>
      </x:c>
      <x:c s="14" r="O30" t="inlineStr">
        <x:is>
          <x:t xml:space="preserve">BF16/FP16</x:t>
        </x:is>
      </x:c>
      <x:c s="15" r="P30" t="n">
        <x:v>24.2</x:v>
      </x:c>
      <x:c s="14" r="Q30" t="inlineStr">
        <x:is>
          <x:t xml:space="preserve">Comfortable</x:t>
        </x:is>
      </x:c>
      <x:c s="18" r="R30" t="inlineStr">
        <x:is>
          <x:t xml:space="preserve">Gemma 4 multimodal family with native audio input support.</x:t>
        </x:is>
      </x:c>
      <x:c s="14" r="S30" t="inlineStr">
        <x:is>
          <x:t xml:space="preserve">current_repo_page_2026-04-21</x:t>
        </x:is>
      </x:c>
      <x:c s="17" r="T30" t="inlineStr">
        <x:is>
          <x:t xml:space="preserve">https://huggingface.co/google</x:t>
        </x:is>
      </x:c>
      <x:c s="14" r="U30" t="inlineStr">
        <x:is>
          <x:t xml:space="preserve">Transformers; GGUF/MLX</x:t>
        </x:is>
      </x:c>
      <x:c s="15" r="V30" t="n">
        <x:v>24.2</x:v>
      </x:c>
      <x:c s="15" r="W30" t="n">
        <x:v>14.1</x:v>
      </x:c>
      <x:c s="15" r="X30" t="n">
        <x:v>11.6</x:v>
      </x:c>
      <x:c s="15" r="Y30" t="n">
        <x:v>10.3</x:v>
      </x:c>
      <x:c s="15" r="Z30" t="n">
        <x:v>9.1</x:v>
      </x:c>
      <x:c s="15" r="AA30" t="n">
        <x:v>7.8</x:v>
      </x:c>
      <x:c s="15" r="AB30" t="n">
        <x:v>6.5</x:v>
      </x:c>
    </x:row>
    <x:row r="31">
      <x:c r="A31" t="inlineStr">
        <x:is>
          <x:t xml:space="preserve">Google Gemma</x:t>
        </x:is>
      </x:c>
      <x:c s="14" r="B31" t="inlineStr">
        <x:is>
          <x:t xml:space="preserve">google/gemma-4-E4B-it</x:t>
        </x:is>
      </x:c>
      <x:c s="14" r="C31" t="inlineStr">
        <x:is>
          <x:t xml:space="preserve">gemma-4-E4B-it</x:t>
        </x:is>
      </x:c>
      <x:c s="15" r="D31" t="n">
        <x:v>8</x:v>
      </x:c>
      <x:c s="15" r="E31"/>
      <x:c s="14" r="F31" t="inlineStr">
        <x:is>
          <x:t xml:space="preserve">general chat</x:t>
        </x:is>
      </x:c>
      <x:c s="14" r="G31" t="inlineStr">
        <x:is>
          <x:t xml:space="preserve">text+vision+audio</x:t>
        </x:is>
      </x:c>
      <x:c r="H31" t="inlineStr">
        <x:is>
          <x:t xml:space="preserve">instruct</x:t>
        </x:is>
      </x:c>
      <x:c r="I31" t="inlineStr">
        <x:is>
          <x:t xml:space="preserve">Dense</x:t>
        </x:is>
      </x:c>
      <x:c s="16" r="J31" t="inlineStr">
        <x:is>
          <x:t xml:space="preserve">gated</x:t>
        </x:is>
      </x:c>
      <x:c s="17" r="K31" t="inlineStr">
        <x:is>
          <x:t xml:space="preserve">https://huggingface.co/google/gemma-4-E4B-it</x:t>
        </x:is>
      </x:c>
      <x:c s="17" r="L31" t="inlineStr">
        <x:is>
          <x:t xml:space="preserve">https://huggingface.co/ggml-org/gemma-4-E4B-it-GGUF</x:t>
        </x:is>
      </x:c>
      <x:c s="14" r="M31" t="inlineStr">
        <x:is>
          <x:t xml:space="preserve">BF16/FP16</x:t>
        </x:is>
      </x:c>
      <x:c s="15" r="N31" t="n">
        <x:v>24.2</x:v>
      </x:c>
      <x:c s="14" r="O31" t="inlineStr">
        <x:is>
          <x:t xml:space="preserve">BF16/FP16</x:t>
        </x:is>
      </x:c>
      <x:c s="15" r="P31" t="n">
        <x:v>24.2</x:v>
      </x:c>
      <x:c s="14" r="Q31" t="inlineStr">
        <x:is>
          <x:t xml:space="preserve">Comfortable</x:t>
        </x:is>
      </x:c>
      <x:c s="18" r="R31" t="inlineStr">
        <x:is>
          <x:t xml:space="preserve">Gemma 4 multimodal family with native audio input support; official GGUF available.</x:t>
        </x:is>
      </x:c>
      <x:c s="14" r="S31" t="inlineStr">
        <x:is>
          <x:t xml:space="preserve">current_repo_page_2026-04-21</x:t>
        </x:is>
      </x:c>
      <x:c s="17" r="T31" t="inlineStr">
        <x:is>
          <x:t xml:space="preserve">https://huggingface.co/google</x:t>
        </x:is>
      </x:c>
      <x:c s="14" r="U31" t="inlineStr">
        <x:is>
          <x:t xml:space="preserve">Transformers; GGUF/MLX</x:t>
        </x:is>
      </x:c>
      <x:c s="15" r="V31" t="n">
        <x:v>24.2</x:v>
      </x:c>
      <x:c s="15" r="W31" t="n">
        <x:v>14.1</x:v>
      </x:c>
      <x:c s="15" r="X31" t="n">
        <x:v>11.6</x:v>
      </x:c>
      <x:c s="15" r="Y31" t="n">
        <x:v>10.3</x:v>
      </x:c>
      <x:c s="15" r="Z31" t="n">
        <x:v>9.1</x:v>
      </x:c>
      <x:c s="15" r="AA31" t="n">
        <x:v>7.8</x:v>
      </x:c>
      <x:c s="15" r="AB31" t="n">
        <x:v>6.5</x:v>
      </x:c>
    </x:row>
    <x:row r="32">
      <x:c r="A32" t="inlineStr">
        <x:is>
          <x:t xml:space="preserve">Google Gemma</x:t>
        </x:is>
      </x:c>
      <x:c s="14" r="B32" t="inlineStr">
        <x:is>
          <x:t xml:space="preserve">google/gemma-4-E2B</x:t>
        </x:is>
      </x:c>
      <x:c s="14" r="C32" t="inlineStr">
        <x:is>
          <x:t xml:space="preserve">gemma-4-E2B</x:t>
        </x:is>
      </x:c>
      <x:c s="15" r="D32" t="n">
        <x:v>5.1</x:v>
      </x:c>
      <x:c s="15" r="E32"/>
      <x:c s="14" r="F32" t="inlineStr">
        <x:is>
          <x:t xml:space="preserve">general</x:t>
        </x:is>
      </x:c>
      <x:c s="14" r="G32" t="inlineStr">
        <x:is>
          <x:t xml:space="preserve">text+vision+audio</x:t>
        </x:is>
      </x:c>
      <x:c r="H32" t="inlineStr">
        <x:is>
          <x:t xml:space="preserve">base</x:t>
        </x:is>
      </x:c>
      <x:c r="I32" t="inlineStr">
        <x:is>
          <x:t xml:space="preserve">Dense</x:t>
        </x:is>
      </x:c>
      <x:c s="16" r="J32" t="inlineStr">
        <x:is>
          <x:t xml:space="preserve">gated</x:t>
        </x:is>
      </x:c>
      <x:c s="17" r="K32" t="inlineStr">
        <x:is>
          <x:t xml:space="preserve">https://huggingface.co/google/gemma-4-E2B</x:t>
        </x:is>
      </x:c>
      <x:c s="17" r="L32" t="inlineStr">
        <x:is>
          <x:t xml:space="preserve"/>
        </x:is>
      </x:c>
      <x:c s="14" r="M32" t="inlineStr">
        <x:is>
          <x:t xml:space="preserve">BF16/FP16</x:t>
        </x:is>
      </x:c>
      <x:c s="15" r="N32" t="n">
        <x:v>16.9</x:v>
      </x:c>
      <x:c s="14" r="O32" t="inlineStr">
        <x:is>
          <x:t xml:space="preserve">BF16/FP16</x:t>
        </x:is>
      </x:c>
      <x:c s="15" r="P32" t="n">
        <x:v>16.9</x:v>
      </x:c>
      <x:c s="14" r="Q32" t="inlineStr">
        <x:is>
          <x:t xml:space="preserve">Comfortable</x:t>
        </x:is>
      </x:c>
      <x:c s="18" r="R32" t="inlineStr">
        <x:is>
          <x:t xml:space="preserve">Gemma 4 multimodal family with native audio input support.</x:t>
        </x:is>
      </x:c>
      <x:c s="14" r="S32" t="inlineStr">
        <x:is>
          <x:t xml:space="preserve">current_repo_page_2026-04-21</x:t>
        </x:is>
      </x:c>
      <x:c s="17" r="T32" t="inlineStr">
        <x:is>
          <x:t xml:space="preserve">https://huggingface.co/google</x:t>
        </x:is>
      </x:c>
      <x:c s="14" r="U32" t="inlineStr">
        <x:is>
          <x:t xml:space="preserve">Transformers; GGUF/MLX</x:t>
        </x:is>
      </x:c>
      <x:c s="15" r="V32" t="n">
        <x:v>16.9</x:v>
      </x:c>
      <x:c s="15" r="W32" t="n">
        <x:v>10.5</x:v>
      </x:c>
      <x:c s="15" r="X32" t="n">
        <x:v>8.8</x:v>
      </x:c>
      <x:c s="15" r="Y32" t="n">
        <x:v>8</x:v>
      </x:c>
      <x:c s="15" r="Z32" t="n">
        <x:v>7.2</x:v>
      </x:c>
      <x:c s="15" r="AA32" t="n">
        <x:v>6.4</x:v>
      </x:c>
      <x:c s="15" r="AB32" t="n">
        <x:v>5.6</x:v>
      </x:c>
    </x:row>
    <x:row r="33">
      <x:c r="A33" t="inlineStr">
        <x:is>
          <x:t xml:space="preserve">Google Gemma</x:t>
        </x:is>
      </x:c>
      <x:c s="14" r="B33" t="inlineStr">
        <x:is>
          <x:t xml:space="preserve">google/gemma-4-E2B-it</x:t>
        </x:is>
      </x:c>
      <x:c s="14" r="C33" t="inlineStr">
        <x:is>
          <x:t xml:space="preserve">gemma-4-E2B-it</x:t>
        </x:is>
      </x:c>
      <x:c s="15" r="D33" t="n">
        <x:v>5.1</x:v>
      </x:c>
      <x:c s="15" r="E33"/>
      <x:c s="14" r="F33" t="inlineStr">
        <x:is>
          <x:t xml:space="preserve">general chat</x:t>
        </x:is>
      </x:c>
      <x:c s="14" r="G33" t="inlineStr">
        <x:is>
          <x:t xml:space="preserve">text+vision+audio</x:t>
        </x:is>
      </x:c>
      <x:c r="H33" t="inlineStr">
        <x:is>
          <x:t xml:space="preserve">instruct</x:t>
        </x:is>
      </x:c>
      <x:c r="I33" t="inlineStr">
        <x:is>
          <x:t xml:space="preserve">Dense</x:t>
        </x:is>
      </x:c>
      <x:c s="16" r="J33" t="inlineStr">
        <x:is>
          <x:t xml:space="preserve">gated</x:t>
        </x:is>
      </x:c>
      <x:c s="17" r="K33" t="inlineStr">
        <x:is>
          <x:t xml:space="preserve">https://huggingface.co/google/gemma-4-E2B-it</x:t>
        </x:is>
      </x:c>
      <x:c s="17" r="L33" t="inlineStr">
        <x:is>
          <x:t xml:space="preserve">https://huggingface.co/ggml-org/gemma-4-E2B-it-GGUF</x:t>
        </x:is>
      </x:c>
      <x:c s="14" r="M33" t="inlineStr">
        <x:is>
          <x:t xml:space="preserve">BF16/FP16</x:t>
        </x:is>
      </x:c>
      <x:c s="15" r="N33" t="n">
        <x:v>16.9</x:v>
      </x:c>
      <x:c s="14" r="O33" t="inlineStr">
        <x:is>
          <x:t xml:space="preserve">BF16/FP16</x:t>
        </x:is>
      </x:c>
      <x:c s="15" r="P33" t="n">
        <x:v>16.9</x:v>
      </x:c>
      <x:c s="14" r="Q33" t="inlineStr">
        <x:is>
          <x:t xml:space="preserve">Comfortable</x:t>
        </x:is>
      </x:c>
      <x:c s="18" r="R33" t="inlineStr">
        <x:is>
          <x:t xml:space="preserve">Gemma 4 multimodal family with native audio input support; official GGUF available.</x:t>
        </x:is>
      </x:c>
      <x:c s="14" r="S33" t="inlineStr">
        <x:is>
          <x:t xml:space="preserve">current_repo_page_2026-04-21</x:t>
        </x:is>
      </x:c>
      <x:c s="17" r="T33" t="inlineStr">
        <x:is>
          <x:t xml:space="preserve">https://huggingface.co/google</x:t>
        </x:is>
      </x:c>
      <x:c s="14" r="U33" t="inlineStr">
        <x:is>
          <x:t xml:space="preserve">Transformers; GGUF/MLX</x:t>
        </x:is>
      </x:c>
      <x:c s="15" r="V33" t="n">
        <x:v>16.9</x:v>
      </x:c>
      <x:c s="15" r="W33" t="n">
        <x:v>10.5</x:v>
      </x:c>
      <x:c s="15" r="X33" t="n">
        <x:v>8.8</x:v>
      </x:c>
      <x:c s="15" r="Y33" t="n">
        <x:v>8</x:v>
      </x:c>
      <x:c s="15" r="Z33" t="n">
        <x:v>7.2</x:v>
      </x:c>
      <x:c s="15" r="AA33" t="n">
        <x:v>6.4</x:v>
      </x:c>
      <x:c s="15" r="AB33" t="n">
        <x:v>5.6</x:v>
      </x:c>
    </x:row>
    <x:row r="34">
      <x:c r="A34" t="inlineStr">
        <x:is>
          <x:t xml:space="preserve">Google Gemma</x:t>
        </x:is>
      </x:c>
      <x:c s="14" r="B34" t="inlineStr">
        <x:is>
          <x:t xml:space="preserve">google/datagemma-rag-27b-it</x:t>
        </x:is>
      </x:c>
      <x:c s="14" r="C34" t="inlineStr">
        <x:is>
          <x:t xml:space="preserve">datagemma-rag-27b-it</x:t>
        </x:is>
      </x:c>
      <x:c s="15" r="D34" t="n">
        <x:v>27</x:v>
      </x:c>
      <x:c s="15" r="E34"/>
      <x:c s="14" r="F34" t="inlineStr">
        <x:is>
          <x:t xml:space="preserve">RAG / grounded QA</x:t>
        </x:is>
      </x:c>
      <x:c s="14" r="G34" t="inlineStr">
        <x:is>
          <x:t xml:space="preserve">text</x:t>
        </x:is>
      </x:c>
      <x:c r="H34" t="inlineStr">
        <x:is>
          <x:t xml:space="preserve">instruct</x:t>
        </x:is>
      </x:c>
      <x:c r="I34" t="inlineStr">
        <x:is>
          <x:t xml:space="preserve">Dense</x:t>
        </x:is>
      </x:c>
      <x:c s="16" r="J34" t="inlineStr">
        <x:is>
          <x:t xml:space="preserve">gated</x:t>
        </x:is>
      </x:c>
      <x:c s="17" r="K34" t="inlineStr">
        <x:is>
          <x:t xml:space="preserve">https://huggingface.co/google/datagemma-rag-27b-it</x:t>
        </x:is>
      </x:c>
      <x:c s="17" r="L34" t="inlineStr">
        <x:is>
          <x:t xml:space="preserve"/>
        </x:is>
      </x:c>
      <x:c s="14" r="M34" t="inlineStr">
        <x:is>
          <x:t xml:space="preserve">BF16/FP16</x:t>
        </x:is>
      </x:c>
      <x:c s="15" r="N34" t="n">
        <x:v>72.3</x:v>
      </x:c>
      <x:c s="14" r="O34" t="inlineStr">
        <x:is>
          <x:t xml:space="preserve">BF16/FP16</x:t>
        </x:is>
      </x:c>
      <x:c s="15" r="P34" t="n">
        <x:v>72.3</x:v>
      </x:c>
      <x:c s="14" r="Q34" t="inlineStr">
        <x:is>
          <x:t xml:space="preserve">Comfortable</x:t>
        </x:is>
      </x:c>
      <x:c s="18" r="R34" t="inlineStr">
        <x:is>
          <x:t xml:space="preserve">DataGemma RAG checkpoint.</x:t>
        </x:is>
      </x:c>
      <x:c s="14" r="S34" t="inlineStr">
        <x:is>
          <x:t xml:space="preserve">current_family_page_2026-03-27</x:t>
        </x:is>
      </x:c>
      <x:c s="17" r="T34" t="inlineStr">
        <x:is>
          <x:t xml:space="preserve">https://huggingface.co/google</x:t>
        </x:is>
      </x:c>
      <x:c s="14" r="U34" t="inlineStr">
        <x:is>
          <x:t xml:space="preserve">Transformers; GGUF/MLX</x:t>
        </x:is>
      </x:c>
      <x:c s="15" r="V34" t="n">
        <x:v>72.3</x:v>
      </x:c>
      <x:c s="15" r="W34" t="n">
        <x:v>38.2</x:v>
      </x:c>
      <x:c s="15" r="X34" t="n">
        <x:v>29.6</x:v>
      </x:c>
      <x:c s="15" r="Y34" t="n">
        <x:v>25.3</x:v>
      </x:c>
      <x:c s="15" r="Z34" t="n">
        <x:v>21.1</x:v>
      </x:c>
      <x:c s="15" r="AA34" t="n">
        <x:v>16.8</x:v>
      </x:c>
      <x:c s="15" r="AB34" t="n">
        <x:v>12.5</x:v>
      </x:c>
    </x:row>
    <x:row r="35">
      <x:c r="A35" t="inlineStr">
        <x:is>
          <x:t xml:space="preserve">Google Gemma</x:t>
        </x:is>
      </x:c>
      <x:c s="14" r="B35" t="inlineStr">
        <x:is>
          <x:t xml:space="preserve">google/datagemma-rig-27b-it</x:t>
        </x:is>
      </x:c>
      <x:c s="14" r="C35" t="inlineStr">
        <x:is>
          <x:t xml:space="preserve">datagemma-rig-27b-it</x:t>
        </x:is>
      </x:c>
      <x:c s="15" r="D35" t="n">
        <x:v>27</x:v>
      </x:c>
      <x:c s="15" r="E35"/>
      <x:c s="14" r="F35" t="inlineStr">
        <x:is>
          <x:t xml:space="preserve">grounded QA / RIG</x:t>
        </x:is>
      </x:c>
      <x:c s="14" r="G35" t="inlineStr">
        <x:is>
          <x:t xml:space="preserve">text</x:t>
        </x:is>
      </x:c>
      <x:c r="H35" t="inlineStr">
        <x:is>
          <x:t xml:space="preserve">instruct</x:t>
        </x:is>
      </x:c>
      <x:c r="I35" t="inlineStr">
        <x:is>
          <x:t xml:space="preserve">Dense</x:t>
        </x:is>
      </x:c>
      <x:c s="16" r="J35" t="inlineStr">
        <x:is>
          <x:t xml:space="preserve">gated</x:t>
        </x:is>
      </x:c>
      <x:c s="17" r="K35" t="inlineStr">
        <x:is>
          <x:t xml:space="preserve">https://huggingface.co/google/datagemma-rig-27b-it</x:t>
        </x:is>
      </x:c>
      <x:c s="17" r="L35" t="inlineStr">
        <x:is>
          <x:t xml:space="preserve"/>
        </x:is>
      </x:c>
      <x:c s="14" r="M35" t="inlineStr">
        <x:is>
          <x:t xml:space="preserve">BF16/FP16</x:t>
        </x:is>
      </x:c>
      <x:c s="15" r="N35" t="n">
        <x:v>72.3</x:v>
      </x:c>
      <x:c s="14" r="O35" t="inlineStr">
        <x:is>
          <x:t xml:space="preserve">BF16/FP16</x:t>
        </x:is>
      </x:c>
      <x:c s="15" r="P35" t="n">
        <x:v>72.3</x:v>
      </x:c>
      <x:c s="14" r="Q35" t="inlineStr">
        <x:is>
          <x:t xml:space="preserve">Comfortable</x:t>
        </x:is>
      </x:c>
      <x:c s="18" r="R35" t="inlineStr">
        <x:is>
          <x:t xml:space="preserve">DataGemma RIG checkpoint.</x:t>
        </x:is>
      </x:c>
      <x:c s="14" r="S35" t="inlineStr">
        <x:is>
          <x:t xml:space="preserve">current_family_page_2026-03-27</x:t>
        </x:is>
      </x:c>
      <x:c s="17" r="T35" t="inlineStr">
        <x:is>
          <x:t xml:space="preserve">https://huggingface.co/google</x:t>
        </x:is>
      </x:c>
      <x:c s="14" r="U35" t="inlineStr">
        <x:is>
          <x:t xml:space="preserve">Transformers; GGUF/MLX</x:t>
        </x:is>
      </x:c>
      <x:c s="15" r="V35" t="n">
        <x:v>72.3</x:v>
      </x:c>
      <x:c s="15" r="W35" t="n">
        <x:v>38.2</x:v>
      </x:c>
      <x:c s="15" r="X35" t="n">
        <x:v>29.6</x:v>
      </x:c>
      <x:c s="15" r="Y35" t="n">
        <x:v>25.3</x:v>
      </x:c>
      <x:c s="15" r="Z35" t="n">
        <x:v>21.1</x:v>
      </x:c>
      <x:c s="15" r="AA35" t="n">
        <x:v>16.8</x:v>
      </x:c>
      <x:c s="15" r="AB35" t="n">
        <x:v>12.5</x:v>
      </x:c>
    </x:row>
    <x:row r="36">
      <x:c r="A36" t="inlineStr">
        <x:is>
          <x:t xml:space="preserve">Google Gemma</x:t>
        </x:is>
      </x:c>
      <x:c s="14" r="B36" t="inlineStr">
        <x:is>
          <x:t xml:space="preserve">google/gemma-2-27b</x:t>
        </x:is>
      </x:c>
      <x:c s="14" r="C36" t="inlineStr">
        <x:is>
          <x:t xml:space="preserve">gemma-2-27b</x:t>
        </x:is>
      </x:c>
      <x:c s="15" r="D36" t="n">
        <x:v>27</x:v>
      </x:c>
      <x:c s="15" r="E36"/>
      <x:c s="14" r="F36" t="inlineStr">
        <x:is>
          <x:t xml:space="preserve">general</x:t>
        </x:is>
      </x:c>
      <x:c s="14" r="G36" t="inlineStr">
        <x:is>
          <x:t xml:space="preserve">text</x:t>
        </x:is>
      </x:c>
      <x:c r="H36" t="inlineStr">
        <x:is>
          <x:t xml:space="preserve">base</x:t>
        </x:is>
      </x:c>
      <x:c r="I36" t="inlineStr">
        <x:is>
          <x:t xml:space="preserve">Dense</x:t>
        </x:is>
      </x:c>
      <x:c s="16" r="J36" t="inlineStr">
        <x:is>
          <x:t xml:space="preserve">gated</x:t>
        </x:is>
      </x:c>
      <x:c s="17" r="K36" t="inlineStr">
        <x:is>
          <x:t xml:space="preserve">https://huggingface.co/google/gemma-2-27b</x:t>
        </x:is>
      </x:c>
      <x:c s="17" r="L36" t="inlineStr">
        <x:is>
          <x:t xml:space="preserve"/>
        </x:is>
      </x:c>
      <x:c s="14" r="M36" t="inlineStr">
        <x:is>
          <x:t xml:space="preserve">BF16/FP16</x:t>
        </x:is>
      </x:c>
      <x:c s="15" r="N36" t="n">
        <x:v>72.3</x:v>
      </x:c>
      <x:c s="14" r="O36" t="inlineStr">
        <x:is>
          <x:t xml:space="preserve">BF16/FP16</x:t>
        </x:is>
      </x:c>
      <x:c s="15" r="P36" t="n">
        <x:v>72.3</x:v>
      </x:c>
      <x:c s="14" r="Q36" t="inlineStr">
        <x:is>
          <x:t xml:space="preserve">Comfortable</x:t>
        </x:is>
      </x:c>
      <x:c s="18" r="R36" t="inlineStr">
        <x:is>
          <x:t xml:space="preserve">Gemma 2 family.</x:t>
        </x:is>
      </x:c>
      <x:c s="14" r="S36" t="inlineStr">
        <x:is>
          <x:t xml:space="preserve">current_family_page_2026-03-27</x:t>
        </x:is>
      </x:c>
      <x:c s="17" r="T36" t="inlineStr">
        <x:is>
          <x:t xml:space="preserve">https://huggingface.co/collections/google/gemma-2-668d84f5e1a8d5778f19d7db</x:t>
        </x:is>
      </x:c>
      <x:c s="14" r="U36" t="inlineStr">
        <x:is>
          <x:t xml:space="preserve">Transformers; GGUF/MLX</x:t>
        </x:is>
      </x:c>
      <x:c s="15" r="V36" t="n">
        <x:v>72.3</x:v>
      </x:c>
      <x:c s="15" r="W36" t="n">
        <x:v>38.2</x:v>
      </x:c>
      <x:c s="15" r="X36" t="n">
        <x:v>29.6</x:v>
      </x:c>
      <x:c s="15" r="Y36" t="n">
        <x:v>25.3</x:v>
      </x:c>
      <x:c s="15" r="Z36" t="n">
        <x:v>21.1</x:v>
      </x:c>
      <x:c s="15" r="AA36" t="n">
        <x:v>16.8</x:v>
      </x:c>
      <x:c s="15" r="AB36" t="n">
        <x:v>12.5</x:v>
      </x:c>
    </x:row>
    <x:row r="37">
      <x:c r="A37" t="inlineStr">
        <x:is>
          <x:t xml:space="preserve">Google Gemma</x:t>
        </x:is>
      </x:c>
      <x:c s="14" r="B37" t="inlineStr">
        <x:is>
          <x:t xml:space="preserve">google/gemma-2-27b-it</x:t>
        </x:is>
      </x:c>
      <x:c s="14" r="C37" t="inlineStr">
        <x:is>
          <x:t xml:space="preserve">gemma-2-27b-it</x:t>
        </x:is>
      </x:c>
      <x:c s="15" r="D37" t="n">
        <x:v>27</x:v>
      </x:c>
      <x:c s="15" r="E37"/>
      <x:c s="14" r="F37" t="inlineStr">
        <x:is>
          <x:t xml:space="preserve">general chat</x:t>
        </x:is>
      </x:c>
      <x:c s="14" r="G37" t="inlineStr">
        <x:is>
          <x:t xml:space="preserve">text</x:t>
        </x:is>
      </x:c>
      <x:c r="H37" t="inlineStr">
        <x:is>
          <x:t xml:space="preserve">instruct</x:t>
        </x:is>
      </x:c>
      <x:c r="I37" t="inlineStr">
        <x:is>
          <x:t xml:space="preserve">Dense</x:t>
        </x:is>
      </x:c>
      <x:c s="16" r="J37" t="inlineStr">
        <x:is>
          <x:t xml:space="preserve">gated</x:t>
        </x:is>
      </x:c>
      <x:c s="17" r="K37" t="inlineStr">
        <x:is>
          <x:t xml:space="preserve">https://huggingface.co/google/gemma-2-27b-it</x:t>
        </x:is>
      </x:c>
      <x:c s="17" r="L37" t="inlineStr">
        <x:is>
          <x:t xml:space="preserve"/>
        </x:is>
      </x:c>
      <x:c s="14" r="M37" t="inlineStr">
        <x:is>
          <x:t xml:space="preserve">BF16/FP16</x:t>
        </x:is>
      </x:c>
      <x:c s="15" r="N37" t="n">
        <x:v>72.3</x:v>
      </x:c>
      <x:c s="14" r="O37" t="inlineStr">
        <x:is>
          <x:t xml:space="preserve">BF16/FP16</x:t>
        </x:is>
      </x:c>
      <x:c s="15" r="P37" t="n">
        <x:v>72.3</x:v>
      </x:c>
      <x:c s="14" r="Q37" t="inlineStr">
        <x:is>
          <x:t xml:space="preserve">Comfortable</x:t>
        </x:is>
      </x:c>
      <x:c s="18" r="R37" t="inlineStr">
        <x:is>
          <x:t xml:space="preserve">Gemma 2 family.</x:t>
        </x:is>
      </x:c>
      <x:c s="14" r="S37" t="inlineStr">
        <x:is>
          <x:t xml:space="preserve">current_family_page_2026-03-27</x:t>
        </x:is>
      </x:c>
      <x:c s="17" r="T37" t="inlineStr">
        <x:is>
          <x:t xml:space="preserve">https://huggingface.co/collections/google/gemma-2-668d84f5e1a8d5778f19d7db</x:t>
        </x:is>
      </x:c>
      <x:c s="14" r="U37" t="inlineStr">
        <x:is>
          <x:t xml:space="preserve">Transformers; GGUF/MLX</x:t>
        </x:is>
      </x:c>
      <x:c s="15" r="V37" t="n">
        <x:v>72.3</x:v>
      </x:c>
      <x:c s="15" r="W37" t="n">
        <x:v>38.2</x:v>
      </x:c>
      <x:c s="15" r="X37" t="n">
        <x:v>29.6</x:v>
      </x:c>
      <x:c s="15" r="Y37" t="n">
        <x:v>25.3</x:v>
      </x:c>
      <x:c s="15" r="Z37" t="n">
        <x:v>21.1</x:v>
      </x:c>
      <x:c s="15" r="AA37" t="n">
        <x:v>16.8</x:v>
      </x:c>
      <x:c s="15" r="AB37" t="n">
        <x:v>12.5</x:v>
      </x:c>
    </x:row>
    <x:row r="38">
      <x:c r="A38" t="inlineStr">
        <x:is>
          <x:t xml:space="preserve">Google Gemma</x:t>
        </x:is>
      </x:c>
      <x:c s="14" r="B38" t="inlineStr">
        <x:is>
          <x:t xml:space="preserve">google/gemma-3-27b-it</x:t>
        </x:is>
      </x:c>
      <x:c s="14" r="C38" t="inlineStr">
        <x:is>
          <x:t xml:space="preserve">gemma-3-27b-it</x:t>
        </x:is>
      </x:c>
      <x:c s="15" r="D38" t="n">
        <x:v>27</x:v>
      </x:c>
      <x:c s="15" r="E38"/>
      <x:c s="14" r="F38" t="inlineStr">
        <x:is>
          <x:t xml:space="preserve">general chat</x:t>
        </x:is>
      </x:c>
      <x:c s="14" r="G38" t="inlineStr">
        <x:is>
          <x:t xml:space="preserve">text+vision</x:t>
        </x:is>
      </x:c>
      <x:c r="H38" t="inlineStr">
        <x:is>
          <x:t xml:space="preserve">instruct</x:t>
        </x:is>
      </x:c>
      <x:c r="I38" t="inlineStr">
        <x:is>
          <x:t xml:space="preserve">Dense</x:t>
        </x:is>
      </x:c>
      <x:c s="16" r="J38" t="inlineStr">
        <x:is>
          <x:t xml:space="preserve">gated</x:t>
        </x:is>
      </x:c>
      <x:c s="17" r="K38" t="inlineStr">
        <x:is>
          <x:t xml:space="preserve">https://huggingface.co/google/gemma-3-27b-it</x:t>
        </x:is>
      </x:c>
      <x:c s="17" r="L38" t="inlineStr">
        <x:is>
          <x:t xml:space="preserve">https://huggingface.co/google/gemma-3-27b-it-qat-q4_0-gguf</x:t>
        </x:is>
      </x:c>
      <x:c s="14" r="M38" t="inlineStr">
        <x:is>
          <x:t xml:space="preserve">BF16/FP16</x:t>
        </x:is>
      </x:c>
      <x:c s="15" r="N38" t="n">
        <x:v>72.3</x:v>
      </x:c>
      <x:c s="14" r="O38" t="inlineStr">
        <x:is>
          <x:t xml:space="preserve">BF16/FP16</x:t>
        </x:is>
      </x:c>
      <x:c s="15" r="P38" t="n">
        <x:v>72.3</x:v>
      </x:c>
      <x:c s="14" r="Q38" t="inlineStr">
        <x:is>
          <x:t xml:space="preserve">Comfortable</x:t>
        </x:is>
      </x:c>
      <x:c s="18" r="R38" t="inlineStr">
        <x:is>
          <x:t xml:space="preserve">Gemma 3 family; official QAT q4_0 GGUF available for IT checkpoints.</x:t>
        </x:is>
      </x:c>
      <x:c s="14" r="S38" t="inlineStr">
        <x:is>
          <x:t xml:space="preserve">current_family_page_2026-03-27</x:t>
        </x:is>
      </x:c>
      <x:c s="17" r="T38" t="inlineStr">
        <x:is>
          <x:t xml:space="preserve">https://huggingface.co/collections/google/gemma-3-67c816c910fc0817f9b4b7f8</x:t>
        </x:is>
      </x:c>
      <x:c s="14" r="U38" t="inlineStr">
        <x:is>
          <x:t xml:space="preserve">Transformers; GGUF/MLX</x:t>
        </x:is>
      </x:c>
      <x:c s="15" r="V38" t="n">
        <x:v>72.3</x:v>
      </x:c>
      <x:c s="15" r="W38" t="n">
        <x:v>38.2</x:v>
      </x:c>
      <x:c s="15" r="X38" t="n">
        <x:v>29.6</x:v>
      </x:c>
      <x:c s="15" r="Y38" t="n">
        <x:v>25.3</x:v>
      </x:c>
      <x:c s="15" r="Z38" t="n">
        <x:v>21.1</x:v>
      </x:c>
      <x:c s="15" r="AA38" t="n">
        <x:v>16.8</x:v>
      </x:c>
      <x:c s="15" r="AB38" t="n">
        <x:v>12.5</x:v>
      </x:c>
    </x:row>
    <x:row r="39">
      <x:c r="A39" t="inlineStr">
        <x:is>
          <x:t xml:space="preserve">Google Gemma</x:t>
        </x:is>
      </x:c>
      <x:c s="14" r="B39" t="inlineStr">
        <x:is>
          <x:t xml:space="preserve">google/gemma-3-27b-pt</x:t>
        </x:is>
      </x:c>
      <x:c s="14" r="C39" t="inlineStr">
        <x:is>
          <x:t xml:space="preserve">gemma-3-27b-pt</x:t>
        </x:is>
      </x:c>
      <x:c s="15" r="D39" t="n">
        <x:v>27</x:v>
      </x:c>
      <x:c s="15" r="E39"/>
      <x:c s="14" r="F39" t="inlineStr">
        <x:is>
          <x:t xml:space="preserve">general</x:t>
        </x:is>
      </x:c>
      <x:c s="14" r="G39" t="inlineStr">
        <x:is>
          <x:t xml:space="preserve">text+vision</x:t>
        </x:is>
      </x:c>
      <x:c r="H39" t="inlineStr">
        <x:is>
          <x:t xml:space="preserve">base</x:t>
        </x:is>
      </x:c>
      <x:c r="I39" t="inlineStr">
        <x:is>
          <x:t xml:space="preserve">Dense</x:t>
        </x:is>
      </x:c>
      <x:c s="16" r="J39" t="inlineStr">
        <x:is>
          <x:t xml:space="preserve">gated</x:t>
        </x:is>
      </x:c>
      <x:c s="17" r="K39" t="inlineStr">
        <x:is>
          <x:t xml:space="preserve">https://huggingface.co/google/gemma-3-27b-pt</x:t>
        </x:is>
      </x:c>
      <x:c s="17" r="L39" t="inlineStr">
        <x:is>
          <x:t xml:space="preserve"/>
        </x:is>
      </x:c>
      <x:c s="14" r="M39" t="inlineStr">
        <x:is>
          <x:t xml:space="preserve">BF16/FP16</x:t>
        </x:is>
      </x:c>
      <x:c s="15" r="N39" t="n">
        <x:v>72.3</x:v>
      </x:c>
      <x:c s="14" r="O39" t="inlineStr">
        <x:is>
          <x:t xml:space="preserve">BF16/FP16</x:t>
        </x:is>
      </x:c>
      <x:c s="15" r="P39" t="n">
        <x:v>72.3</x:v>
      </x:c>
      <x:c s="14" r="Q39" t="inlineStr">
        <x:is>
          <x:t xml:space="preserve">Comfortable</x:t>
        </x:is>
      </x:c>
      <x:c s="18" r="R39" t="inlineStr">
        <x:is>
          <x:t xml:space="preserve">Gemma 3 family.</x:t>
        </x:is>
      </x:c>
      <x:c s="14" r="S39" t="inlineStr">
        <x:is>
          <x:t xml:space="preserve">current_family_page_2026-03-27</x:t>
        </x:is>
      </x:c>
      <x:c s="17" r="T39" t="inlineStr">
        <x:is>
          <x:t xml:space="preserve">https://huggingface.co/collections/google/gemma-3-67c816c910fc0817f9b4b7f8</x:t>
        </x:is>
      </x:c>
      <x:c s="14" r="U39" t="inlineStr">
        <x:is>
          <x:t xml:space="preserve">Transformers; GGUF/MLX</x:t>
        </x:is>
      </x:c>
      <x:c s="15" r="V39" t="n">
        <x:v>72.3</x:v>
      </x:c>
      <x:c s="15" r="W39" t="n">
        <x:v>38.2</x:v>
      </x:c>
      <x:c s="15" r="X39" t="n">
        <x:v>29.6</x:v>
      </x:c>
      <x:c s="15" r="Y39" t="n">
        <x:v>25.3</x:v>
      </x:c>
      <x:c s="15" r="Z39" t="n">
        <x:v>21.1</x:v>
      </x:c>
      <x:c s="15" r="AA39" t="n">
        <x:v>16.8</x:v>
      </x:c>
      <x:c s="15" r="AB39" t="n">
        <x:v>12.5</x:v>
      </x:c>
    </x:row>
    <x:row r="40">
      <x:c r="A40" t="inlineStr">
        <x:is>
          <x:t xml:space="preserve">Google Gemma</x:t>
        </x:is>
      </x:c>
      <x:c s="14" r="B40" t="inlineStr">
        <x:is>
          <x:t xml:space="preserve">google/translategemma-27b-it</x:t>
        </x:is>
      </x:c>
      <x:c s="14" r="C40" t="inlineStr">
        <x:is>
          <x:t xml:space="preserve">translategemma-27b-it</x:t>
        </x:is>
      </x:c>
      <x:c s="15" r="D40" t="n">
        <x:v>27</x:v>
      </x:c>
      <x:c s="15" r="E40"/>
      <x:c s="14" r="F40" t="inlineStr">
        <x:is>
          <x:t xml:space="preserve">translation / multilingual</x:t>
        </x:is>
      </x:c>
      <x:c s="14" r="G40" t="inlineStr">
        <x:is>
          <x:t xml:space="preserve">text</x:t>
        </x:is>
      </x:c>
      <x:c r="H40" t="inlineStr">
        <x:is>
          <x:t xml:space="preserve">instruct</x:t>
        </x:is>
      </x:c>
      <x:c r="I40" t="inlineStr">
        <x:is>
          <x:t xml:space="preserve">Dense</x:t>
        </x:is>
      </x:c>
      <x:c s="16" r="J40" t="inlineStr">
        <x:is>
          <x:t xml:space="preserve">gated</x:t>
        </x:is>
      </x:c>
      <x:c s="17" r="K40" t="inlineStr">
        <x:is>
          <x:t xml:space="preserve">https://huggingface.co/google/translategemma-27b-it</x:t>
        </x:is>
      </x:c>
      <x:c s="17" r="L40" t="inlineStr">
        <x:is>
          <x:t xml:space="preserve"/>
        </x:is>
      </x:c>
      <x:c s="14" r="M40" t="inlineStr">
        <x:is>
          <x:t xml:space="preserve">BF16/FP16</x:t>
        </x:is>
      </x:c>
      <x:c s="15" r="N40" t="n">
        <x:v>72.3</x:v>
      </x:c>
      <x:c s="14" r="O40" t="inlineStr">
        <x:is>
          <x:t xml:space="preserve">BF16/FP16</x:t>
        </x:is>
      </x:c>
      <x:c s="15" r="P40" t="n">
        <x:v>72.3</x:v>
      </x:c>
      <x:c s="14" r="Q40" t="inlineStr">
        <x:is>
          <x:t xml:space="preserve">Comfortable</x:t>
        </x:is>
      </x:c>
      <x:c s="18" r="R40" t="inlineStr">
        <x:is>
          <x:t xml:space="preserve">Translation-oriented Gemma derivative.</x:t>
        </x:is>
      </x:c>
      <x:c s="14" r="S40" t="inlineStr">
        <x:is>
          <x:t xml:space="preserve">current_family_page_2026-03-27</x:t>
        </x:is>
      </x:c>
      <x:c s="17" r="T40" t="inlineStr">
        <x:is>
          <x:t xml:space="preserve">https://huggingface.co/collections/google/translategemma-67ee8c6b9c7d3bd73c8c8244</x:t>
        </x:is>
      </x:c>
      <x:c s="14" r="U40" t="inlineStr">
        <x:is>
          <x:t xml:space="preserve">Transformers; GGUF/MLX</x:t>
        </x:is>
      </x:c>
      <x:c s="15" r="V40" t="n">
        <x:v>72.3</x:v>
      </x:c>
      <x:c s="15" r="W40" t="n">
        <x:v>38.2</x:v>
      </x:c>
      <x:c s="15" r="X40" t="n">
        <x:v>29.6</x:v>
      </x:c>
      <x:c s="15" r="Y40" t="n">
        <x:v>25.3</x:v>
      </x:c>
      <x:c s="15" r="Z40" t="n">
        <x:v>21.1</x:v>
      </x:c>
      <x:c s="15" r="AA40" t="n">
        <x:v>16.8</x:v>
      </x:c>
      <x:c s="15" r="AB40" t="n">
        <x:v>12.5</x:v>
      </x:c>
    </x:row>
    <x:row r="41">
      <x:c r="A41" t="inlineStr">
        <x:is>
          <x:t xml:space="preserve">Google Gemma</x:t>
        </x:is>
      </x:c>
      <x:c s="14" r="B41" t="inlineStr">
        <x:is>
          <x:t xml:space="preserve">google/gemma-3-12b-it</x:t>
        </x:is>
      </x:c>
      <x:c s="14" r="C41" t="inlineStr">
        <x:is>
          <x:t xml:space="preserve">gemma-3-12b-it</x:t>
        </x:is>
      </x:c>
      <x:c s="15" r="D41" t="n">
        <x:v>12</x:v>
      </x:c>
      <x:c s="15" r="E41"/>
      <x:c s="14" r="F41" t="inlineStr">
        <x:is>
          <x:t xml:space="preserve">general chat</x:t>
        </x:is>
      </x:c>
      <x:c s="14" r="G41" t="inlineStr">
        <x:is>
          <x:t xml:space="preserve">text+vision</x:t>
        </x:is>
      </x:c>
      <x:c r="H41" t="inlineStr">
        <x:is>
          <x:t xml:space="preserve">instruct</x:t>
        </x:is>
      </x:c>
      <x:c r="I41" t="inlineStr">
        <x:is>
          <x:t xml:space="preserve">Dense</x:t>
        </x:is>
      </x:c>
      <x:c s="16" r="J41" t="inlineStr">
        <x:is>
          <x:t xml:space="preserve">gated</x:t>
        </x:is>
      </x:c>
      <x:c s="17" r="K41" t="inlineStr">
        <x:is>
          <x:t xml:space="preserve">https://huggingface.co/google/gemma-3-12b-it</x:t>
        </x:is>
      </x:c>
      <x:c s="17" r="L41" t="inlineStr">
        <x:is>
          <x:t xml:space="preserve">https://huggingface.co/google/gemma-3-12b-it-qat-q4_0-gguf</x:t>
        </x:is>
      </x:c>
      <x:c s="14" r="M41" t="inlineStr">
        <x:is>
          <x:t xml:space="preserve">BF16/FP16</x:t>
        </x:is>
      </x:c>
      <x:c s="15" r="N41" t="n">
        <x:v>34.4</x:v>
      </x:c>
      <x:c s="14" r="O41" t="inlineStr">
        <x:is>
          <x:t xml:space="preserve">BF16/FP16</x:t>
        </x:is>
      </x:c>
      <x:c s="15" r="P41" t="n">
        <x:v>34.4</x:v>
      </x:c>
      <x:c s="14" r="Q41" t="inlineStr">
        <x:is>
          <x:t xml:space="preserve">Comfortable</x:t>
        </x:is>
      </x:c>
      <x:c s="18" r="R41" t="inlineStr">
        <x:is>
          <x:t xml:space="preserve">Gemma 3 family; official QAT q4_0 GGUF available for IT checkpoints.</x:t>
        </x:is>
      </x:c>
      <x:c s="14" r="S41" t="inlineStr">
        <x:is>
          <x:t xml:space="preserve">current_family_page_2026-03-27</x:t>
        </x:is>
      </x:c>
      <x:c s="17" r="T41" t="inlineStr">
        <x:is>
          <x:t xml:space="preserve">https://huggingface.co/collections/google/gemma-3-67c816c910fc0817f9b4b7f8</x:t>
        </x:is>
      </x:c>
      <x:c s="14" r="U41" t="inlineStr">
        <x:is>
          <x:t xml:space="preserve">Transformers; GGUF/MLX</x:t>
        </x:is>
      </x:c>
      <x:c s="15" r="V41" t="n">
        <x:v>34.4</x:v>
      </x:c>
      <x:c s="15" r="W41" t="n">
        <x:v>19.2</x:v>
      </x:c>
      <x:c s="15" r="X41" t="n">
        <x:v>15.4</x:v>
      </x:c>
      <x:c s="15" r="Y41" t="n">
        <x:v>13.5</x:v>
      </x:c>
      <x:c s="15" r="Z41" t="n">
        <x:v>11.6</x:v>
      </x:c>
      <x:c s="15" r="AA41" t="n">
        <x:v>9.7</x:v>
      </x:c>
      <x:c s="15" r="AB41" t="n">
        <x:v>7.8</x:v>
      </x:c>
    </x:row>
    <x:row r="42">
      <x:c r="A42" t="inlineStr">
        <x:is>
          <x:t xml:space="preserve">Google Gemma</x:t>
        </x:is>
      </x:c>
      <x:c s="14" r="B42" t="inlineStr">
        <x:is>
          <x:t xml:space="preserve">google/gemma-3-12b-pt</x:t>
        </x:is>
      </x:c>
      <x:c s="14" r="C42" t="inlineStr">
        <x:is>
          <x:t xml:space="preserve">gemma-3-12b-pt</x:t>
        </x:is>
      </x:c>
      <x:c s="15" r="D42" t="n">
        <x:v>12</x:v>
      </x:c>
      <x:c s="15" r="E42"/>
      <x:c s="14" r="F42" t="inlineStr">
        <x:is>
          <x:t xml:space="preserve">general</x:t>
        </x:is>
      </x:c>
      <x:c s="14" r="G42" t="inlineStr">
        <x:is>
          <x:t xml:space="preserve">text+vision</x:t>
        </x:is>
      </x:c>
      <x:c r="H42" t="inlineStr">
        <x:is>
          <x:t xml:space="preserve">base</x:t>
        </x:is>
      </x:c>
      <x:c r="I42" t="inlineStr">
        <x:is>
          <x:t xml:space="preserve">Dense</x:t>
        </x:is>
      </x:c>
      <x:c s="16" r="J42" t="inlineStr">
        <x:is>
          <x:t xml:space="preserve">gated</x:t>
        </x:is>
      </x:c>
      <x:c s="17" r="K42" t="inlineStr">
        <x:is>
          <x:t xml:space="preserve">https://huggingface.co/google/gemma-3-12b-pt</x:t>
        </x:is>
      </x:c>
      <x:c s="17" r="L42" t="inlineStr">
        <x:is>
          <x:t xml:space="preserve"/>
        </x:is>
      </x:c>
      <x:c s="14" r="M42" t="inlineStr">
        <x:is>
          <x:t xml:space="preserve">BF16/FP16</x:t>
        </x:is>
      </x:c>
      <x:c s="15" r="N42" t="n">
        <x:v>34.4</x:v>
      </x:c>
      <x:c s="14" r="O42" t="inlineStr">
        <x:is>
          <x:t xml:space="preserve">BF16/FP16</x:t>
        </x:is>
      </x:c>
      <x:c s="15" r="P42" t="n">
        <x:v>34.4</x:v>
      </x:c>
      <x:c s="14" r="Q42" t="inlineStr">
        <x:is>
          <x:t xml:space="preserve">Comfortable</x:t>
        </x:is>
      </x:c>
      <x:c s="18" r="R42" t="inlineStr">
        <x:is>
          <x:t xml:space="preserve">Gemma 3 family.</x:t>
        </x:is>
      </x:c>
      <x:c s="14" r="S42" t="inlineStr">
        <x:is>
          <x:t xml:space="preserve">current_family_page_2026-03-27</x:t>
        </x:is>
      </x:c>
      <x:c s="17" r="T42" t="inlineStr">
        <x:is>
          <x:t xml:space="preserve">https://huggingface.co/collections/google/gemma-3-67c816c910fc0817f9b4b7f8</x:t>
        </x:is>
      </x:c>
      <x:c s="14" r="U42" t="inlineStr">
        <x:is>
          <x:t xml:space="preserve">Transformers; GGUF/MLX</x:t>
        </x:is>
      </x:c>
      <x:c s="15" r="V42" t="n">
        <x:v>34.4</x:v>
      </x:c>
      <x:c s="15" r="W42" t="n">
        <x:v>19.2</x:v>
      </x:c>
      <x:c s="15" r="X42" t="n">
        <x:v>15.4</x:v>
      </x:c>
      <x:c s="15" r="Y42" t="n">
        <x:v>13.5</x:v>
      </x:c>
      <x:c s="15" r="Z42" t="n">
        <x:v>11.6</x:v>
      </x:c>
      <x:c s="15" r="AA42" t="n">
        <x:v>9.7</x:v>
      </x:c>
      <x:c s="15" r="AB42" t="n">
        <x:v>7.8</x:v>
      </x:c>
    </x:row>
    <x:row r="43">
      <x:c r="A43" t="inlineStr">
        <x:is>
          <x:t xml:space="preserve">Google Gemma</x:t>
        </x:is>
      </x:c>
      <x:c s="14" r="B43" t="inlineStr">
        <x:is>
          <x:t xml:space="preserve">google/translategemma-12b-it</x:t>
        </x:is>
      </x:c>
      <x:c s="14" r="C43" t="inlineStr">
        <x:is>
          <x:t xml:space="preserve">translategemma-12b-it</x:t>
        </x:is>
      </x:c>
      <x:c s="15" r="D43" t="n">
        <x:v>12</x:v>
      </x:c>
      <x:c s="15" r="E43"/>
      <x:c s="14" r="F43" t="inlineStr">
        <x:is>
          <x:t xml:space="preserve">translation / multilingual</x:t>
        </x:is>
      </x:c>
      <x:c s="14" r="G43" t="inlineStr">
        <x:is>
          <x:t xml:space="preserve">text</x:t>
        </x:is>
      </x:c>
      <x:c r="H43" t="inlineStr">
        <x:is>
          <x:t xml:space="preserve">instruct</x:t>
        </x:is>
      </x:c>
      <x:c r="I43" t="inlineStr">
        <x:is>
          <x:t xml:space="preserve">Dense</x:t>
        </x:is>
      </x:c>
      <x:c s="16" r="J43" t="inlineStr">
        <x:is>
          <x:t xml:space="preserve">gated</x:t>
        </x:is>
      </x:c>
      <x:c s="17" r="K43" t="inlineStr">
        <x:is>
          <x:t xml:space="preserve">https://huggingface.co/google/translategemma-12b-it</x:t>
        </x:is>
      </x:c>
      <x:c s="17" r="L43" t="inlineStr">
        <x:is>
          <x:t xml:space="preserve"/>
        </x:is>
      </x:c>
      <x:c s="14" r="M43" t="inlineStr">
        <x:is>
          <x:t xml:space="preserve">BF16/FP16</x:t>
        </x:is>
      </x:c>
      <x:c s="15" r="N43" t="n">
        <x:v>34.4</x:v>
      </x:c>
      <x:c s="14" r="O43" t="inlineStr">
        <x:is>
          <x:t xml:space="preserve">BF16/FP16</x:t>
        </x:is>
      </x:c>
      <x:c s="15" r="P43" t="n">
        <x:v>34.4</x:v>
      </x:c>
      <x:c s="14" r="Q43" t="inlineStr">
        <x:is>
          <x:t xml:space="preserve">Comfortable</x:t>
        </x:is>
      </x:c>
      <x:c s="18" r="R43" t="inlineStr">
        <x:is>
          <x:t xml:space="preserve">Translation-oriented Gemma derivative.</x:t>
        </x:is>
      </x:c>
      <x:c s="14" r="S43" t="inlineStr">
        <x:is>
          <x:t xml:space="preserve">current_family_page_2026-03-27</x:t>
        </x:is>
      </x:c>
      <x:c s="17" r="T43" t="inlineStr">
        <x:is>
          <x:t xml:space="preserve">https://huggingface.co/collections/google/translategemma-67ee8c6b9c7d3bd73c8c8244</x:t>
        </x:is>
      </x:c>
      <x:c s="14" r="U43" t="inlineStr">
        <x:is>
          <x:t xml:space="preserve">Transformers; GGUF/MLX</x:t>
        </x:is>
      </x:c>
      <x:c s="15" r="V43" t="n">
        <x:v>34.4</x:v>
      </x:c>
      <x:c s="15" r="W43" t="n">
        <x:v>19.2</x:v>
      </x:c>
      <x:c s="15" r="X43" t="n">
        <x:v>15.4</x:v>
      </x:c>
      <x:c s="15" r="Y43" t="n">
        <x:v>13.5</x:v>
      </x:c>
      <x:c s="15" r="Z43" t="n">
        <x:v>11.6</x:v>
      </x:c>
      <x:c s="15" r="AA43" t="n">
        <x:v>9.7</x:v>
      </x:c>
      <x:c s="15" r="AB43" t="n">
        <x:v>7.8</x:v>
      </x:c>
    </x:row>
    <x:row r="44">
      <x:c r="A44" t="inlineStr">
        <x:is>
          <x:t xml:space="preserve">Google Gemma</x:t>
        </x:is>
      </x:c>
      <x:c s="14" r="B44" t="inlineStr">
        <x:is>
          <x:t xml:space="preserve">google/gemma-2-9b</x:t>
        </x:is>
      </x:c>
      <x:c s="14" r="C44" t="inlineStr">
        <x:is>
          <x:t xml:space="preserve">gemma-2-9b</x:t>
        </x:is>
      </x:c>
      <x:c s="15" r="D44" t="n">
        <x:v>9</x:v>
      </x:c>
      <x:c s="15" r="E44"/>
      <x:c s="14" r="F44" t="inlineStr">
        <x:is>
          <x:t xml:space="preserve">general</x:t>
        </x:is>
      </x:c>
      <x:c s="14" r="G44" t="inlineStr">
        <x:is>
          <x:t xml:space="preserve">text</x:t>
        </x:is>
      </x:c>
      <x:c r="H44" t="inlineStr">
        <x:is>
          <x:t xml:space="preserve">base</x:t>
        </x:is>
      </x:c>
      <x:c r="I44" t="inlineStr">
        <x:is>
          <x:t xml:space="preserve">Dense</x:t>
        </x:is>
      </x:c>
      <x:c s="16" r="J44" t="inlineStr">
        <x:is>
          <x:t xml:space="preserve">gated</x:t>
        </x:is>
      </x:c>
      <x:c s="17" r="K44" t="inlineStr">
        <x:is>
          <x:t xml:space="preserve">https://huggingface.co/google/gemma-2-9b</x:t>
        </x:is>
      </x:c>
      <x:c s="17" r="L44" t="inlineStr">
        <x:is>
          <x:t xml:space="preserve"/>
        </x:is>
      </x:c>
      <x:c s="14" r="M44" t="inlineStr">
        <x:is>
          <x:t xml:space="preserve">BF16/FP16</x:t>
        </x:is>
      </x:c>
      <x:c s="15" r="N44" t="n">
        <x:v>26.8</x:v>
      </x:c>
      <x:c s="14" r="O44" t="inlineStr">
        <x:is>
          <x:t xml:space="preserve">BF16/FP16</x:t>
        </x:is>
      </x:c>
      <x:c s="15" r="P44" t="n">
        <x:v>26.8</x:v>
      </x:c>
      <x:c s="14" r="Q44" t="inlineStr">
        <x:is>
          <x:t xml:space="preserve">Comfortable</x:t>
        </x:is>
      </x:c>
      <x:c s="18" r="R44" t="inlineStr">
        <x:is>
          <x:t xml:space="preserve">Gemma 2 family.</x:t>
        </x:is>
      </x:c>
      <x:c s="14" r="S44" t="inlineStr">
        <x:is>
          <x:t xml:space="preserve">current_family_page_2026-03-27</x:t>
        </x:is>
      </x:c>
      <x:c s="17" r="T44" t="inlineStr">
        <x:is>
          <x:t xml:space="preserve">https://huggingface.co/collections/google/gemma-2-668d84f5e1a8d5778f19d7db</x:t>
        </x:is>
      </x:c>
      <x:c s="14" r="U44" t="inlineStr">
        <x:is>
          <x:t xml:space="preserve">Transformers; GGUF/MLX</x:t>
        </x:is>
      </x:c>
      <x:c s="15" r="V44" t="n">
        <x:v>26.8</x:v>
      </x:c>
      <x:c s="15" r="W44" t="n">
        <x:v>15.4</x:v>
      </x:c>
      <x:c s="15" r="X44" t="n">
        <x:v>12.5</x:v>
      </x:c>
      <x:c s="15" r="Y44" t="n">
        <x:v>11.1</x:v>
      </x:c>
      <x:c s="15" r="Z44" t="n">
        <x:v>9.7</x:v>
      </x:c>
      <x:c s="15" r="AA44" t="n">
        <x:v>8.3</x:v>
      </x:c>
      <x:c s="15" r="AB44" t="n">
        <x:v>6.8</x:v>
      </x:c>
    </x:row>
    <x:row r="45">
      <x:c r="A45" t="inlineStr">
        <x:is>
          <x:t xml:space="preserve">Google Gemma</x:t>
        </x:is>
      </x:c>
      <x:c s="14" r="B45" t="inlineStr">
        <x:is>
          <x:t xml:space="preserve">google/gemma-2-9b-it</x:t>
        </x:is>
      </x:c>
      <x:c s="14" r="C45" t="inlineStr">
        <x:is>
          <x:t xml:space="preserve">gemma-2-9b-it</x:t>
        </x:is>
      </x:c>
      <x:c s="15" r="D45" t="n">
        <x:v>9</x:v>
      </x:c>
      <x:c s="15" r="E45"/>
      <x:c s="14" r="F45" t="inlineStr">
        <x:is>
          <x:t xml:space="preserve">general chat</x:t>
        </x:is>
      </x:c>
      <x:c s="14" r="G45" t="inlineStr">
        <x:is>
          <x:t xml:space="preserve">text</x:t>
        </x:is>
      </x:c>
      <x:c r="H45" t="inlineStr">
        <x:is>
          <x:t xml:space="preserve">instruct</x:t>
        </x:is>
      </x:c>
      <x:c r="I45" t="inlineStr">
        <x:is>
          <x:t xml:space="preserve">Dense</x:t>
        </x:is>
      </x:c>
      <x:c s="16" r="J45" t="inlineStr">
        <x:is>
          <x:t xml:space="preserve">gated</x:t>
        </x:is>
      </x:c>
      <x:c s="17" r="K45" t="inlineStr">
        <x:is>
          <x:t xml:space="preserve">https://huggingface.co/google/gemma-2-9b-it</x:t>
        </x:is>
      </x:c>
      <x:c s="17" r="L45" t="inlineStr">
        <x:is>
          <x:t xml:space="preserve"/>
        </x:is>
      </x:c>
      <x:c s="14" r="M45" t="inlineStr">
        <x:is>
          <x:t xml:space="preserve">BF16/FP16</x:t>
        </x:is>
      </x:c>
      <x:c s="15" r="N45" t="n">
        <x:v>26.8</x:v>
      </x:c>
      <x:c s="14" r="O45" t="inlineStr">
        <x:is>
          <x:t xml:space="preserve">BF16/FP16</x:t>
        </x:is>
      </x:c>
      <x:c s="15" r="P45" t="n">
        <x:v>26.8</x:v>
      </x:c>
      <x:c s="14" r="Q45" t="inlineStr">
        <x:is>
          <x:t xml:space="preserve">Comfortable</x:t>
        </x:is>
      </x:c>
      <x:c s="18" r="R45" t="inlineStr">
        <x:is>
          <x:t xml:space="preserve">Gemma 2 family.</x:t>
        </x:is>
      </x:c>
      <x:c s="14" r="S45" t="inlineStr">
        <x:is>
          <x:t xml:space="preserve">current_family_page_2026-03-27</x:t>
        </x:is>
      </x:c>
      <x:c s="17" r="T45" t="inlineStr">
        <x:is>
          <x:t xml:space="preserve">https://huggingface.co/collections/google/gemma-2-668d84f5e1a8d5778f19d7db</x:t>
        </x:is>
      </x:c>
      <x:c s="14" r="U45" t="inlineStr">
        <x:is>
          <x:t xml:space="preserve">Transformers; GGUF/MLX</x:t>
        </x:is>
      </x:c>
      <x:c s="15" r="V45" t="n">
        <x:v>26.8</x:v>
      </x:c>
      <x:c s="15" r="W45" t="n">
        <x:v>15.4</x:v>
      </x:c>
      <x:c s="15" r="X45" t="n">
        <x:v>12.5</x:v>
      </x:c>
      <x:c s="15" r="Y45" t="n">
        <x:v>11.1</x:v>
      </x:c>
      <x:c s="15" r="Z45" t="n">
        <x:v>9.7</x:v>
      </x:c>
      <x:c s="15" r="AA45" t="n">
        <x:v>8.3</x:v>
      </x:c>
      <x:c s="15" r="AB45" t="n">
        <x:v>6.8</x:v>
      </x:c>
    </x:row>
    <x:row r="46">
      <x:c r="A46" t="inlineStr">
        <x:is>
          <x:t xml:space="preserve">Google Gemma</x:t>
        </x:is>
      </x:c>
      <x:c s="14" r="B46" t="inlineStr">
        <x:is>
          <x:t xml:space="preserve">google/gemma-3-4b-it</x:t>
        </x:is>
      </x:c>
      <x:c s="14" r="C46" t="inlineStr">
        <x:is>
          <x:t xml:space="preserve">gemma-3-4b-it</x:t>
        </x:is>
      </x:c>
      <x:c s="15" r="D46" t="n">
        <x:v>4</x:v>
      </x:c>
      <x:c s="15" r="E46"/>
      <x:c s="14" r="F46" t="inlineStr">
        <x:is>
          <x:t xml:space="preserve">general chat</x:t>
        </x:is>
      </x:c>
      <x:c s="14" r="G46" t="inlineStr">
        <x:is>
          <x:t xml:space="preserve">text+vision</x:t>
        </x:is>
      </x:c>
      <x:c r="H46" t="inlineStr">
        <x:is>
          <x:t xml:space="preserve">instruct</x:t>
        </x:is>
      </x:c>
      <x:c r="I46" t="inlineStr">
        <x:is>
          <x:t xml:space="preserve">Dense</x:t>
        </x:is>
      </x:c>
      <x:c s="16" r="J46" t="inlineStr">
        <x:is>
          <x:t xml:space="preserve">gated</x:t>
        </x:is>
      </x:c>
      <x:c s="17" r="K46" t="inlineStr">
        <x:is>
          <x:t xml:space="preserve">https://huggingface.co/google/gemma-3-4b-it</x:t>
        </x:is>
      </x:c>
      <x:c s="17" r="L46" t="inlineStr">
        <x:is>
          <x:t xml:space="preserve">https://huggingface.co/google/gemma-3-4b-it-qat-q4_0-gguf</x:t>
        </x:is>
      </x:c>
      <x:c s="14" r="M46" t="inlineStr">
        <x:is>
          <x:t xml:space="preserve">BF16/FP16</x:t>
        </x:is>
      </x:c>
      <x:c s="15" r="N46" t="n">
        <x:v>14.1</x:v>
      </x:c>
      <x:c s="14" r="O46" t="inlineStr">
        <x:is>
          <x:t xml:space="preserve">BF16/FP16</x:t>
        </x:is>
      </x:c>
      <x:c s="15" r="P46" t="n">
        <x:v>14.1</x:v>
      </x:c>
      <x:c s="14" r="Q46" t="inlineStr">
        <x:is>
          <x:t xml:space="preserve">Comfortable</x:t>
        </x:is>
      </x:c>
      <x:c s="18" r="R46" t="inlineStr">
        <x:is>
          <x:t xml:space="preserve">Gemma 3 family; official QAT q4_0 GGUF available for IT checkpoints.</x:t>
        </x:is>
      </x:c>
      <x:c s="14" r="S46" t="inlineStr">
        <x:is>
          <x:t xml:space="preserve">current_family_page_2026-03-27</x:t>
        </x:is>
      </x:c>
      <x:c s="17" r="T46" t="inlineStr">
        <x:is>
          <x:t xml:space="preserve">https://huggingface.co/collections/google/gemma-3-67c816c910fc0817f9b4b7f8</x:t>
        </x:is>
      </x:c>
      <x:c s="14" r="U46" t="inlineStr">
        <x:is>
          <x:t xml:space="preserve">Transformers; GGUF/MLX</x:t>
        </x:is>
      </x:c>
      <x:c s="15" r="V46" t="n">
        <x:v>14.1</x:v>
      </x:c>
      <x:c s="15" r="W46" t="n">
        <x:v>9.1</x:v>
      </x:c>
      <x:c s="15" r="X46" t="n">
        <x:v>7.8</x:v>
      </x:c>
      <x:c s="15" r="Y46" t="n">
        <x:v>7.2</x:v>
      </x:c>
      <x:c s="15" r="Z46" t="n">
        <x:v>6.5</x:v>
      </x:c>
      <x:c s="15" r="AA46" t="n">
        <x:v>5.9</x:v>
      </x:c>
      <x:c s="15" r="AB46" t="n">
        <x:v>5.3</x:v>
      </x:c>
    </x:row>
    <x:row r="47">
      <x:c r="A47" t="inlineStr">
        <x:is>
          <x:t xml:space="preserve">Google Gemma</x:t>
        </x:is>
      </x:c>
      <x:c s="14" r="B47" t="inlineStr">
        <x:is>
          <x:t xml:space="preserve">google/gemma-3-4b-pt</x:t>
        </x:is>
      </x:c>
      <x:c s="14" r="C47" t="inlineStr">
        <x:is>
          <x:t xml:space="preserve">gemma-3-4b-pt</x:t>
        </x:is>
      </x:c>
      <x:c s="15" r="D47" t="n">
        <x:v>4</x:v>
      </x:c>
      <x:c s="15" r="E47"/>
      <x:c s="14" r="F47" t="inlineStr">
        <x:is>
          <x:t xml:space="preserve">general</x:t>
        </x:is>
      </x:c>
      <x:c s="14" r="G47" t="inlineStr">
        <x:is>
          <x:t xml:space="preserve">text+vision</x:t>
        </x:is>
      </x:c>
      <x:c r="H47" t="inlineStr">
        <x:is>
          <x:t xml:space="preserve">base</x:t>
        </x:is>
      </x:c>
      <x:c r="I47" t="inlineStr">
        <x:is>
          <x:t xml:space="preserve">Dense</x:t>
        </x:is>
      </x:c>
      <x:c s="16" r="J47" t="inlineStr">
        <x:is>
          <x:t xml:space="preserve">gated</x:t>
        </x:is>
      </x:c>
      <x:c s="17" r="K47" t="inlineStr">
        <x:is>
          <x:t xml:space="preserve">https://huggingface.co/google/gemma-3-4b-pt</x:t>
        </x:is>
      </x:c>
      <x:c s="17" r="L47" t="inlineStr">
        <x:is>
          <x:t xml:space="preserve"/>
        </x:is>
      </x:c>
      <x:c s="14" r="M47" t="inlineStr">
        <x:is>
          <x:t xml:space="preserve">BF16/FP16</x:t>
        </x:is>
      </x:c>
      <x:c s="15" r="N47" t="n">
        <x:v>14.1</x:v>
      </x:c>
      <x:c s="14" r="O47" t="inlineStr">
        <x:is>
          <x:t xml:space="preserve">BF16/FP16</x:t>
        </x:is>
      </x:c>
      <x:c s="15" r="P47" t="n">
        <x:v>14.1</x:v>
      </x:c>
      <x:c s="14" r="Q47" t="inlineStr">
        <x:is>
          <x:t xml:space="preserve">Comfortable</x:t>
        </x:is>
      </x:c>
      <x:c s="18" r="R47" t="inlineStr">
        <x:is>
          <x:t xml:space="preserve">Gemma 3 family.</x:t>
        </x:is>
      </x:c>
      <x:c s="14" r="S47" t="inlineStr">
        <x:is>
          <x:t xml:space="preserve">current_family_page_2026-03-27</x:t>
        </x:is>
      </x:c>
      <x:c s="17" r="T47" t="inlineStr">
        <x:is>
          <x:t xml:space="preserve">https://huggingface.co/collections/google/gemma-3-67c816c910fc0817f9b4b7f8</x:t>
        </x:is>
      </x:c>
      <x:c s="14" r="U47" t="inlineStr">
        <x:is>
          <x:t xml:space="preserve">Transformers; GGUF/MLX</x:t>
        </x:is>
      </x:c>
      <x:c s="15" r="V47" t="n">
        <x:v>14.1</x:v>
      </x:c>
      <x:c s="15" r="W47" t="n">
        <x:v>9.1</x:v>
      </x:c>
      <x:c s="15" r="X47" t="n">
        <x:v>7.8</x:v>
      </x:c>
      <x:c s="15" r="Y47" t="n">
        <x:v>7.2</x:v>
      </x:c>
      <x:c s="15" r="Z47" t="n">
        <x:v>6.5</x:v>
      </x:c>
      <x:c s="15" r="AA47" t="n">
        <x:v>5.9</x:v>
      </x:c>
      <x:c s="15" r="AB47" t="n">
        <x:v>5.3</x:v>
      </x:c>
    </x:row>
    <x:row r="48">
      <x:c r="A48" t="inlineStr">
        <x:is>
          <x:t xml:space="preserve">Google Gemma</x:t>
        </x:is>
      </x:c>
      <x:c s="14" r="B48" t="inlineStr">
        <x:is>
          <x:t xml:space="preserve">google/translategemma-4b-it</x:t>
        </x:is>
      </x:c>
      <x:c s="14" r="C48" t="inlineStr">
        <x:is>
          <x:t xml:space="preserve">translategemma-4b-it</x:t>
        </x:is>
      </x:c>
      <x:c s="15" r="D48" t="n">
        <x:v>4</x:v>
      </x:c>
      <x:c s="15" r="E48"/>
      <x:c s="14" r="F48" t="inlineStr">
        <x:is>
          <x:t xml:space="preserve">translation / multilingual</x:t>
        </x:is>
      </x:c>
      <x:c s="14" r="G48" t="inlineStr">
        <x:is>
          <x:t xml:space="preserve">text</x:t>
        </x:is>
      </x:c>
      <x:c r="H48" t="inlineStr">
        <x:is>
          <x:t xml:space="preserve">instruct</x:t>
        </x:is>
      </x:c>
      <x:c r="I48" t="inlineStr">
        <x:is>
          <x:t xml:space="preserve">Dense</x:t>
        </x:is>
      </x:c>
      <x:c s="16" r="J48" t="inlineStr">
        <x:is>
          <x:t xml:space="preserve">gated</x:t>
        </x:is>
      </x:c>
      <x:c s="17" r="K48" t="inlineStr">
        <x:is>
          <x:t xml:space="preserve">https://huggingface.co/google/translategemma-4b-it</x:t>
        </x:is>
      </x:c>
      <x:c s="17" r="L48" t="inlineStr">
        <x:is>
          <x:t xml:space="preserve"/>
        </x:is>
      </x:c>
      <x:c s="14" r="M48" t="inlineStr">
        <x:is>
          <x:t xml:space="preserve">BF16/FP16</x:t>
        </x:is>
      </x:c>
      <x:c s="15" r="N48" t="n">
        <x:v>14.1</x:v>
      </x:c>
      <x:c s="14" r="O48" t="inlineStr">
        <x:is>
          <x:t xml:space="preserve">BF16/FP16</x:t>
        </x:is>
      </x:c>
      <x:c s="15" r="P48" t="n">
        <x:v>14.1</x:v>
      </x:c>
      <x:c s="14" r="Q48" t="inlineStr">
        <x:is>
          <x:t xml:space="preserve">Comfortable</x:t>
        </x:is>
      </x:c>
      <x:c s="18" r="R48" t="inlineStr">
        <x:is>
          <x:t xml:space="preserve">Translation-oriented Gemma derivative.</x:t>
        </x:is>
      </x:c>
      <x:c s="14" r="S48" t="inlineStr">
        <x:is>
          <x:t xml:space="preserve">current_family_page_2026-03-27</x:t>
        </x:is>
      </x:c>
      <x:c s="17" r="T48" t="inlineStr">
        <x:is>
          <x:t xml:space="preserve">https://huggingface.co/collections/google/translategemma-67ee8c6b9c7d3bd73c8c8244</x:t>
        </x:is>
      </x:c>
      <x:c s="14" r="U48" t="inlineStr">
        <x:is>
          <x:t xml:space="preserve">Transformers; GGUF/MLX</x:t>
        </x:is>
      </x:c>
      <x:c s="15" r="V48" t="n">
        <x:v>14.1</x:v>
      </x:c>
      <x:c s="15" r="W48" t="n">
        <x:v>9.1</x:v>
      </x:c>
      <x:c s="15" r="X48" t="n">
        <x:v>7.8</x:v>
      </x:c>
      <x:c s="15" r="Y48" t="n">
        <x:v>7.2</x:v>
      </x:c>
      <x:c s="15" r="Z48" t="n">
        <x:v>6.5</x:v>
      </x:c>
      <x:c s="15" r="AA48" t="n">
        <x:v>5.9</x:v>
      </x:c>
      <x:c s="15" r="AB48" t="n">
        <x:v>5.3</x:v>
      </x:c>
    </x:row>
    <x:row r="49">
      <x:c r="A49" t="inlineStr">
        <x:is>
          <x:t xml:space="preserve">Google Gemma</x:t>
        </x:is>
      </x:c>
      <x:c s="14" r="B49" t="inlineStr">
        <x:is>
          <x:t xml:space="preserve">google/gemma-2-2b</x:t>
        </x:is>
      </x:c>
      <x:c s="14" r="C49" t="inlineStr">
        <x:is>
          <x:t xml:space="preserve">gemma-2-2b</x:t>
        </x:is>
      </x:c>
      <x:c s="15" r="D49" t="n">
        <x:v>2</x:v>
      </x:c>
      <x:c s="15" r="E49"/>
      <x:c s="14" r="F49" t="inlineStr">
        <x:is>
          <x:t xml:space="preserve">general</x:t>
        </x:is>
      </x:c>
      <x:c s="14" r="G49" t="inlineStr">
        <x:is>
          <x:t xml:space="preserve">text</x:t>
        </x:is>
      </x:c>
      <x:c r="H49" t="inlineStr">
        <x:is>
          <x:t xml:space="preserve">base</x:t>
        </x:is>
      </x:c>
      <x:c r="I49" t="inlineStr">
        <x:is>
          <x:t xml:space="preserve">Dense</x:t>
        </x:is>
      </x:c>
      <x:c s="16" r="J49" t="inlineStr">
        <x:is>
          <x:t xml:space="preserve">gated</x:t>
        </x:is>
      </x:c>
      <x:c s="17" r="K49" t="inlineStr">
        <x:is>
          <x:t xml:space="preserve">https://huggingface.co/google/gemma-2-2b</x:t>
        </x:is>
      </x:c>
      <x:c s="17" r="L49" t="inlineStr">
        <x:is>
          <x:t xml:space="preserve"/>
        </x:is>
      </x:c>
      <x:c s="14" r="M49" t="inlineStr">
        <x:is>
          <x:t xml:space="preserve">BF16/FP16</x:t>
        </x:is>
      </x:c>
      <x:c s="15" r="N49" t="n">
        <x:v>9.1</x:v>
      </x:c>
      <x:c s="14" r="O49" t="inlineStr">
        <x:is>
          <x:t xml:space="preserve">BF16/FP16</x:t>
        </x:is>
      </x:c>
      <x:c s="15" r="P49" t="n">
        <x:v>9.1</x:v>
      </x:c>
      <x:c s="14" r="Q49" t="inlineStr">
        <x:is>
          <x:t xml:space="preserve">Comfortable</x:t>
        </x:is>
      </x:c>
      <x:c s="18" r="R49" t="inlineStr">
        <x:is>
          <x:t xml:space="preserve">Gemma 2 family.</x:t>
        </x:is>
      </x:c>
      <x:c s="14" r="S49" t="inlineStr">
        <x:is>
          <x:t xml:space="preserve">current_family_page_2026-03-27</x:t>
        </x:is>
      </x:c>
      <x:c s="17" r="T49" t="inlineStr">
        <x:is>
          <x:t xml:space="preserve">https://huggingface.co/collections/google/gemma-2-668d84f5e1a8d5778f19d7db</x:t>
        </x:is>
      </x:c>
      <x:c s="14" r="U49" t="inlineStr">
        <x:is>
          <x:t xml:space="preserve">Transformers; GGUF/MLX</x:t>
        </x:is>
      </x:c>
      <x:c s="15" r="V49" t="n">
        <x:v>9.1</x:v>
      </x:c>
      <x:c s="15" r="W49" t="n">
        <x:v>6.5</x:v>
      </x:c>
      <x:c s="15" r="X49" t="n">
        <x:v>5.9</x:v>
      </x:c>
      <x:c s="15" r="Y49" t="n">
        <x:v>5.6</x:v>
      </x:c>
      <x:c s="15" r="Z49" t="n">
        <x:v>5.3</x:v>
      </x:c>
      <x:c s="15" r="AA49" t="n">
        <x:v>4.9</x:v>
      </x:c>
      <x:c s="15" r="AB49" t="n">
        <x:v>4.6</x:v>
      </x:c>
    </x:row>
    <x:row r="50">
      <x:c r="A50" t="inlineStr">
        <x:is>
          <x:t xml:space="preserve">Google Gemma</x:t>
        </x:is>
      </x:c>
      <x:c s="14" r="B50" t="inlineStr">
        <x:is>
          <x:t xml:space="preserve">google/gemma-2-2b-it</x:t>
        </x:is>
      </x:c>
      <x:c s="14" r="C50" t="inlineStr">
        <x:is>
          <x:t xml:space="preserve">gemma-2-2b-it</x:t>
        </x:is>
      </x:c>
      <x:c s="15" r="D50" t="n">
        <x:v>2</x:v>
      </x:c>
      <x:c s="15" r="E50"/>
      <x:c s="14" r="F50" t="inlineStr">
        <x:is>
          <x:t xml:space="preserve">general chat</x:t>
        </x:is>
      </x:c>
      <x:c s="14" r="G50" t="inlineStr">
        <x:is>
          <x:t xml:space="preserve">text</x:t>
        </x:is>
      </x:c>
      <x:c r="H50" t="inlineStr">
        <x:is>
          <x:t xml:space="preserve">instruct</x:t>
        </x:is>
      </x:c>
      <x:c r="I50" t="inlineStr">
        <x:is>
          <x:t xml:space="preserve">Dense</x:t>
        </x:is>
      </x:c>
      <x:c s="16" r="J50" t="inlineStr">
        <x:is>
          <x:t xml:space="preserve">gated</x:t>
        </x:is>
      </x:c>
      <x:c s="17" r="K50" t="inlineStr">
        <x:is>
          <x:t xml:space="preserve">https://huggingface.co/google/gemma-2-2b-it</x:t>
        </x:is>
      </x:c>
      <x:c s="17" r="L50" t="inlineStr">
        <x:is>
          <x:t xml:space="preserve"/>
        </x:is>
      </x:c>
      <x:c s="14" r="M50" t="inlineStr">
        <x:is>
          <x:t xml:space="preserve">BF16/FP16</x:t>
        </x:is>
      </x:c>
      <x:c s="15" r="N50" t="n">
        <x:v>9.1</x:v>
      </x:c>
      <x:c s="14" r="O50" t="inlineStr">
        <x:is>
          <x:t xml:space="preserve">BF16/FP16</x:t>
        </x:is>
      </x:c>
      <x:c s="15" r="P50" t="n">
        <x:v>9.1</x:v>
      </x:c>
      <x:c s="14" r="Q50" t="inlineStr">
        <x:is>
          <x:t xml:space="preserve">Comfortable</x:t>
        </x:is>
      </x:c>
      <x:c s="18" r="R50" t="inlineStr">
        <x:is>
          <x:t xml:space="preserve">Gemma 2 family.</x:t>
        </x:is>
      </x:c>
      <x:c s="14" r="S50" t="inlineStr">
        <x:is>
          <x:t xml:space="preserve">current_family_page_2026-03-27</x:t>
        </x:is>
      </x:c>
      <x:c s="17" r="T50" t="inlineStr">
        <x:is>
          <x:t xml:space="preserve">https://huggingface.co/collections/google/gemma-2-668d84f5e1a8d5778f19d7db</x:t>
        </x:is>
      </x:c>
      <x:c s="14" r="U50" t="inlineStr">
        <x:is>
          <x:t xml:space="preserve">Transformers; GGUF/MLX</x:t>
        </x:is>
      </x:c>
      <x:c s="15" r="V50" t="n">
        <x:v>9.1</x:v>
      </x:c>
      <x:c s="15" r="W50" t="n">
        <x:v>6.5</x:v>
      </x:c>
      <x:c s="15" r="X50" t="n">
        <x:v>5.9</x:v>
      </x:c>
      <x:c s="15" r="Y50" t="n">
        <x:v>5.6</x:v>
      </x:c>
      <x:c s="15" r="Z50" t="n">
        <x:v>5.3</x:v>
      </x:c>
      <x:c s="15" r="AA50" t="n">
        <x:v>4.9</x:v>
      </x:c>
      <x:c s="15" r="AB50" t="n">
        <x:v>4.6</x:v>
      </x:c>
    </x:row>
    <x:row r="51">
      <x:c r="A51" t="inlineStr">
        <x:is>
          <x:t xml:space="preserve">Google Gemma</x:t>
        </x:is>
      </x:c>
      <x:c s="14" r="B51" t="inlineStr">
        <x:is>
          <x:t xml:space="preserve">google/gemma-3-1b-it</x:t>
        </x:is>
      </x:c>
      <x:c s="14" r="C51" t="inlineStr">
        <x:is>
          <x:t xml:space="preserve">gemma-3-1b-it</x:t>
        </x:is>
      </x:c>
      <x:c s="15" r="D51" t="n">
        <x:v>1</x:v>
      </x:c>
      <x:c s="15" r="E51"/>
      <x:c s="14" r="F51" t="inlineStr">
        <x:is>
          <x:t xml:space="preserve">general chat</x:t>
        </x:is>
      </x:c>
      <x:c s="14" r="G51" t="inlineStr">
        <x:is>
          <x:t xml:space="preserve">text</x:t>
        </x:is>
      </x:c>
      <x:c r="H51" t="inlineStr">
        <x:is>
          <x:t xml:space="preserve">instruct</x:t>
        </x:is>
      </x:c>
      <x:c r="I51" t="inlineStr">
        <x:is>
          <x:t xml:space="preserve">Dense</x:t>
        </x:is>
      </x:c>
      <x:c s="16" r="J51" t="inlineStr">
        <x:is>
          <x:t xml:space="preserve">gated</x:t>
        </x:is>
      </x:c>
      <x:c s="17" r="K51" t="inlineStr">
        <x:is>
          <x:t xml:space="preserve">https://huggingface.co/google/gemma-3-1b-it</x:t>
        </x:is>
      </x:c>
      <x:c s="17" r="L51" t="inlineStr">
        <x:is>
          <x:t xml:space="preserve">https://huggingface.co/google/gemma-3-1b-it-qat-q4_0-gguf</x:t>
        </x:is>
      </x:c>
      <x:c s="14" r="M51" t="inlineStr">
        <x:is>
          <x:t xml:space="preserve">BF16/FP16</x:t>
        </x:is>
      </x:c>
      <x:c s="15" r="N51" t="n">
        <x:v>6.5</x:v>
      </x:c>
      <x:c s="14" r="O51" t="inlineStr">
        <x:is>
          <x:t xml:space="preserve">BF16/FP16</x:t>
        </x:is>
      </x:c>
      <x:c s="15" r="P51" t="n">
        <x:v>6.5</x:v>
      </x:c>
      <x:c s="14" r="Q51" t="inlineStr">
        <x:is>
          <x:t xml:space="preserve">Comfortable</x:t>
        </x:is>
      </x:c>
      <x:c s="18" r="R51" t="inlineStr">
        <x:is>
          <x:t xml:space="preserve">Gemma 3 family; official QAT q4_0 GGUF available for IT checkpoints.</x:t>
        </x:is>
      </x:c>
      <x:c s="14" r="S51" t="inlineStr">
        <x:is>
          <x:t xml:space="preserve">current_family_page_2026-03-27</x:t>
        </x:is>
      </x:c>
      <x:c s="17" r="T51" t="inlineStr">
        <x:is>
          <x:t xml:space="preserve">https://huggingface.co/collections/google/gemma-3-67c816c910fc0817f9b4b7f8</x:t>
        </x:is>
      </x:c>
      <x:c s="14" r="U51" t="inlineStr">
        <x:is>
          <x:t xml:space="preserve">Transformers; GGUF/MLX</x:t>
        </x:is>
      </x:c>
      <x:c s="15" r="V51" t="n">
        <x:v>6.5</x:v>
      </x:c>
      <x:c s="15" r="W51" t="n">
        <x:v>5.3</x:v>
      </x:c>
      <x:c s="15" r="X51" t="n">
        <x:v>4.9</x:v>
      </x:c>
      <x:c s="15" r="Y51" t="n">
        <x:v>4.8</x:v>
      </x:c>
      <x:c s="15" r="Z51" t="n">
        <x:v>4.6</x:v>
      </x:c>
      <x:c s="15" r="AA51" t="n">
        <x:v>4.5</x:v>
      </x:c>
      <x:c s="15" r="AB51" t="n">
        <x:v>4.3</x:v>
      </x:c>
    </x:row>
    <x:row r="52">
      <x:c r="A52" t="inlineStr">
        <x:is>
          <x:t xml:space="preserve">Google Gemma</x:t>
        </x:is>
      </x:c>
      <x:c s="14" r="B52" t="inlineStr">
        <x:is>
          <x:t xml:space="preserve">google/gemma-3-1b-pt</x:t>
        </x:is>
      </x:c>
      <x:c s="14" r="C52" t="inlineStr">
        <x:is>
          <x:t xml:space="preserve">gemma-3-1b-pt</x:t>
        </x:is>
      </x:c>
      <x:c s="15" r="D52" t="n">
        <x:v>1</x:v>
      </x:c>
      <x:c s="15" r="E52"/>
      <x:c s="14" r="F52" t="inlineStr">
        <x:is>
          <x:t xml:space="preserve">general</x:t>
        </x:is>
      </x:c>
      <x:c s="14" r="G52" t="inlineStr">
        <x:is>
          <x:t xml:space="preserve">text</x:t>
        </x:is>
      </x:c>
      <x:c r="H52" t="inlineStr">
        <x:is>
          <x:t xml:space="preserve">base</x:t>
        </x:is>
      </x:c>
      <x:c r="I52" t="inlineStr">
        <x:is>
          <x:t xml:space="preserve">Dense</x:t>
        </x:is>
      </x:c>
      <x:c s="16" r="J52" t="inlineStr">
        <x:is>
          <x:t xml:space="preserve">gated</x:t>
        </x:is>
      </x:c>
      <x:c s="17" r="K52" t="inlineStr">
        <x:is>
          <x:t xml:space="preserve">https://huggingface.co/google/gemma-3-1b-pt</x:t>
        </x:is>
      </x:c>
      <x:c s="17" r="L52" t="inlineStr">
        <x:is>
          <x:t xml:space="preserve"/>
        </x:is>
      </x:c>
      <x:c s="14" r="M52" t="inlineStr">
        <x:is>
          <x:t xml:space="preserve">BF16/FP16</x:t>
        </x:is>
      </x:c>
      <x:c s="15" r="N52" t="n">
        <x:v>6.5</x:v>
      </x:c>
      <x:c s="14" r="O52" t="inlineStr">
        <x:is>
          <x:t xml:space="preserve">BF16/FP16</x:t>
        </x:is>
      </x:c>
      <x:c s="15" r="P52" t="n">
        <x:v>6.5</x:v>
      </x:c>
      <x:c s="14" r="Q52" t="inlineStr">
        <x:is>
          <x:t xml:space="preserve">Comfortable</x:t>
        </x:is>
      </x:c>
      <x:c s="18" r="R52" t="inlineStr">
        <x:is>
          <x:t xml:space="preserve">Gemma 3 family.</x:t>
        </x:is>
      </x:c>
      <x:c s="14" r="S52" t="inlineStr">
        <x:is>
          <x:t xml:space="preserve">current_family_page_2026-03-27</x:t>
        </x:is>
      </x:c>
      <x:c s="17" r="T52" t="inlineStr">
        <x:is>
          <x:t xml:space="preserve">https://huggingface.co/collections/google/gemma-3-67c816c910fc0817f9b4b7f8</x:t>
        </x:is>
      </x:c>
      <x:c s="14" r="U52" t="inlineStr">
        <x:is>
          <x:t xml:space="preserve">Transformers; GGUF/MLX</x:t>
        </x:is>
      </x:c>
      <x:c s="15" r="V52" t="n">
        <x:v>6.5</x:v>
      </x:c>
      <x:c s="15" r="W52" t="n">
        <x:v>5.3</x:v>
      </x:c>
      <x:c s="15" r="X52" t="n">
        <x:v>4.9</x:v>
      </x:c>
      <x:c s="15" r="Y52" t="n">
        <x:v>4.8</x:v>
      </x:c>
      <x:c s="15" r="Z52" t="n">
        <x:v>4.6</x:v>
      </x:c>
      <x:c s="15" r="AA52" t="n">
        <x:v>4.5</x:v>
      </x:c>
      <x:c s="15" r="AB52" t="n">
        <x:v>4.3</x:v>
      </x:c>
    </x:row>
    <x:row r="53">
      <x:c r="A53" t="inlineStr">
        <x:is>
          <x:t xml:space="preserve">Google Gemma</x:t>
        </x:is>
      </x:c>
      <x:c s="14" r="B53" t="inlineStr">
        <x:is>
          <x:t xml:space="preserve">google/functiongemma-270m-it</x:t>
        </x:is>
      </x:c>
      <x:c s="14" r="C53" t="inlineStr">
        <x:is>
          <x:t xml:space="preserve">functiongemma-270m-it</x:t>
        </x:is>
      </x:c>
      <x:c s="15" r="D53" t="n">
        <x:v>0.27</x:v>
      </x:c>
      <x:c s="15" r="E53"/>
      <x:c s="14" r="F53" t="inlineStr">
        <x:is>
          <x:t xml:space="preserve">function calling / tool use</x:t>
        </x:is>
      </x:c>
      <x:c s="14" r="G53" t="inlineStr">
        <x:is>
          <x:t xml:space="preserve">text</x:t>
        </x:is>
      </x:c>
      <x:c r="H53" t="inlineStr">
        <x:is>
          <x:t xml:space="preserve">instruct</x:t>
        </x:is>
      </x:c>
      <x:c r="I53" t="inlineStr">
        <x:is>
          <x:t xml:space="preserve">Dense</x:t>
        </x:is>
      </x:c>
      <x:c s="16" r="J53" t="inlineStr">
        <x:is>
          <x:t xml:space="preserve">gated</x:t>
        </x:is>
      </x:c>
      <x:c s="17" r="K53" t="inlineStr">
        <x:is>
          <x:t xml:space="preserve">https://huggingface.co/google/functiongemma-270m-it</x:t>
        </x:is>
      </x:c>
      <x:c s="17" r="L53" t="inlineStr">
        <x:is>
          <x:t xml:space="preserve"/>
        </x:is>
      </x:c>
      <x:c s="14" r="M53" t="inlineStr">
        <x:is>
          <x:t xml:space="preserve">BF16/FP16</x:t>
        </x:is>
      </x:c>
      <x:c s="15" r="N53" t="n">
        <x:v>4.7</x:v>
      </x:c>
      <x:c s="14" r="O53" t="inlineStr">
        <x:is>
          <x:t xml:space="preserve">BF16/FP16</x:t>
        </x:is>
      </x:c>
      <x:c s="15" r="P53" t="n">
        <x:v>4.7</x:v>
      </x:c>
      <x:c s="14" r="Q53" t="inlineStr">
        <x:is>
          <x:t xml:space="preserve">Comfortable</x:t>
        </x:is>
      </x:c>
      <x:c s="18" r="R53" t="inlineStr">
        <x:is>
          <x:t xml:space="preserve">Very small function-calling tuned Gemma.</x:t>
        </x:is>
      </x:c>
      <x:c s="14" r="S53" t="inlineStr">
        <x:is>
          <x:t xml:space="preserve">current_repo_page_2026-03-27</x:t>
        </x:is>
      </x:c>
      <x:c s="17" r="T53" t="inlineStr">
        <x:is>
          <x:t xml:space="preserve">https://huggingface.co/google</x:t>
        </x:is>
      </x:c>
      <x:c s="14" r="U53" t="inlineStr">
        <x:is>
          <x:t xml:space="preserve">Transformers; GGUF/MLX</x:t>
        </x:is>
      </x:c>
      <x:c s="15" r="V53" t="n">
        <x:v>4.7</x:v>
      </x:c>
      <x:c s="15" r="W53" t="n">
        <x:v>4.3</x:v>
      </x:c>
      <x:c s="15" r="X53" t="n">
        <x:v>4.3</x:v>
      </x:c>
      <x:c s="15" r="Y53" t="n">
        <x:v>4.2</x:v>
      </x:c>
      <x:c s="15" r="Z53" t="n">
        <x:v>4.2</x:v>
      </x:c>
      <x:c s="15" r="AA53" t="n">
        <x:v>4.1</x:v>
      </x:c>
      <x:c s="15" r="AB53" t="n">
        <x:v>4.1</x:v>
      </x:c>
    </x:row>
    <x:row r="54">
      <x:c r="A54" t="inlineStr">
        <x:is>
          <x:t xml:space="preserve">IBM Granite</x:t>
        </x:is>
      </x:c>
      <x:c s="14" r="B54" t="inlineStr">
        <x:is>
          <x:t xml:space="preserve">ibm-granite/granite-4.0-h-small</x:t>
        </x:is>
      </x:c>
      <x:c s="14" r="C54" t="inlineStr">
        <x:is>
          <x:t xml:space="preserve">granite-4.0-h-small</x:t>
        </x:is>
      </x:c>
      <x:c s="15" r="D54" t="n">
        <x:v>32</x:v>
      </x:c>
      <x:c s="15" r="E54"/>
      <x:c s="14" r="F54" t="inlineStr">
        <x:is>
          <x:t xml:space="preserve">general chat</x:t>
        </x:is>
      </x:c>
      <x:c s="14" r="G54" t="inlineStr">
        <x:is>
          <x:t xml:space="preserve">text</x:t>
        </x:is>
      </x:c>
      <x:c r="H54" t="inlineStr">
        <x:is>
          <x:t xml:space="preserve">instruct</x:t>
        </x:is>
      </x:c>
      <x:c r="I54" t="inlineStr">
        <x:is>
          <x:t xml:space="preserve">Dense</x:t>
        </x:is>
      </x:c>
      <x:c s="16" r="J54" t="inlineStr">
        <x:is>
          <x:t xml:space="preserve">open</x:t>
        </x:is>
      </x:c>
      <x:c s="17" r="K54" t="inlineStr">
        <x:is>
          <x:t xml:space="preserve">https://huggingface.co/ibm-granite/granite-4.0-h-small</x:t>
        </x:is>
      </x:c>
      <x:c s="17" r="L54" t="inlineStr">
        <x:is>
          <x:t xml:space="preserve"/>
        </x:is>
      </x:c>
      <x:c s="14" r="M54" t="inlineStr">
        <x:is>
          <x:t xml:space="preserve">BF16/FP16</x:t>
        </x:is>
      </x:c>
      <x:c s="15" r="N54" t="n">
        <x:v>85</x:v>
      </x:c>
      <x:c s="14" r="O54" t="inlineStr">
        <x:is>
          <x:t xml:space="preserve">BF16/FP16</x:t>
        </x:is>
      </x:c>
      <x:c s="15" r="P54" t="n">
        <x:v>85</x:v>
      </x:c>
      <x:c s="14" r="Q54" t="inlineStr">
        <x:is>
          <x:t xml:space="preserve">Near limit</x:t>
        </x:is>
      </x:c>
      <x:c s="18" r="R54" t="inlineStr">
        <x:is>
          <x:t xml:space="preserve">Hybrid Granite 4.0 small model.</x:t>
        </x:is>
      </x:c>
      <x:c s="14" r="S54" t="inlineStr">
        <x:is>
          <x:t xml:space="preserve">current_family_page_2026-03-27</x:t>
        </x:is>
      </x:c>
      <x:c s="17" r="T54" t="inlineStr">
        <x:is>
          <x:t xml:space="preserve">https://huggingface.co/ibm-granite</x:t>
        </x:is>
      </x:c>
      <x:c s="14" r="U54" t="inlineStr">
        <x:is>
          <x:t xml:space="preserve">Transformers; GGUF</x:t>
        </x:is>
      </x:c>
      <x:c s="15" r="V54" t="n">
        <x:v>85</x:v>
      </x:c>
      <x:c s="15" r="W54" t="n">
        <x:v>44.5</x:v>
      </x:c>
      <x:c s="15" r="X54" t="n">
        <x:v>34.4</x:v>
      </x:c>
      <x:c s="15" r="Y54" t="n">
        <x:v>29.3</x:v>
      </x:c>
      <x:c s="15" r="Z54" t="n">
        <x:v>24.2</x:v>
      </x:c>
      <x:c s="15" r="AA54" t="n">
        <x:v>19.2</x:v>
      </x:c>
      <x:c s="15" r="AB54" t="n">
        <x:v>14.1</x:v>
      </x:c>
    </x:row>
    <x:row r="55">
      <x:c r="A55" t="inlineStr">
        <x:is>
          <x:t xml:space="preserve">IBM Granite</x:t>
        </x:is>
      </x:c>
      <x:c s="14" r="B55" t="inlineStr">
        <x:is>
          <x:t xml:space="preserve">ibm-granite/granite-4.0-h-small-base</x:t>
        </x:is>
      </x:c>
      <x:c s="14" r="C55" t="inlineStr">
        <x:is>
          <x:t xml:space="preserve">granite-4.0-h-small-base</x:t>
        </x:is>
      </x:c>
      <x:c s="15" r="D55" t="n">
        <x:v>32</x:v>
      </x:c>
      <x:c s="15" r="E55"/>
      <x:c s="14" r="F55" t="inlineStr">
        <x:is>
          <x:t xml:space="preserve">general</x:t>
        </x:is>
      </x:c>
      <x:c s="14" r="G55" t="inlineStr">
        <x:is>
          <x:t xml:space="preserve">text</x:t>
        </x:is>
      </x:c>
      <x:c r="H55" t="inlineStr">
        <x:is>
          <x:t xml:space="preserve">base</x:t>
        </x:is>
      </x:c>
      <x:c r="I55" t="inlineStr">
        <x:is>
          <x:t xml:space="preserve">Dense</x:t>
        </x:is>
      </x:c>
      <x:c s="16" r="J55" t="inlineStr">
        <x:is>
          <x:t xml:space="preserve">open</x:t>
        </x:is>
      </x:c>
      <x:c s="17" r="K55" t="inlineStr">
        <x:is>
          <x:t xml:space="preserve">https://huggingface.co/ibm-granite/granite-4.0-h-small-base</x:t>
        </x:is>
      </x:c>
      <x:c s="17" r="L55" t="inlineStr">
        <x:is>
          <x:t xml:space="preserve"/>
        </x:is>
      </x:c>
      <x:c s="14" r="M55" t="inlineStr">
        <x:is>
          <x:t xml:space="preserve">BF16/FP16</x:t>
        </x:is>
      </x:c>
      <x:c s="15" r="N55" t="n">
        <x:v>85</x:v>
      </x:c>
      <x:c s="14" r="O55" t="inlineStr">
        <x:is>
          <x:t xml:space="preserve">BF16/FP16</x:t>
        </x:is>
      </x:c>
      <x:c s="15" r="P55" t="n">
        <x:v>85</x:v>
      </x:c>
      <x:c s="14" r="Q55" t="inlineStr">
        <x:is>
          <x:t xml:space="preserve">Near limit</x:t>
        </x:is>
      </x:c>
      <x:c s="18" r="R55" t="inlineStr">
        <x:is>
          <x:t xml:space="preserve">Hybrid Granite 4.0 small base model.</x:t>
        </x:is>
      </x:c>
      <x:c s="14" r="S55" t="inlineStr">
        <x:is>
          <x:t xml:space="preserve">current_family_page_2026-03-27</x:t>
        </x:is>
      </x:c>
      <x:c s="17" r="T55" t="inlineStr">
        <x:is>
          <x:t xml:space="preserve">https://huggingface.co/ibm-granite</x:t>
        </x:is>
      </x:c>
      <x:c s="14" r="U55" t="inlineStr">
        <x:is>
          <x:t xml:space="preserve">Transformers; GGUF</x:t>
        </x:is>
      </x:c>
      <x:c s="15" r="V55" t="n">
        <x:v>85</x:v>
      </x:c>
      <x:c s="15" r="W55" t="n">
        <x:v>44.5</x:v>
      </x:c>
      <x:c s="15" r="X55" t="n">
        <x:v>34.4</x:v>
      </x:c>
      <x:c s="15" r="Y55" t="n">
        <x:v>29.3</x:v>
      </x:c>
      <x:c s="15" r="Z55" t="n">
        <x:v>24.2</x:v>
      </x:c>
      <x:c s="15" r="AA55" t="n">
        <x:v>19.2</x:v>
      </x:c>
      <x:c s="15" r="AB55" t="n">
        <x:v>14.1</x:v>
      </x:c>
    </x:row>
    <x:row r="56">
      <x:c r="A56" t="inlineStr">
        <x:is>
          <x:t xml:space="preserve">IBM Granite</x:t>
        </x:is>
      </x:c>
      <x:c s="14" r="B56" t="inlineStr">
        <x:is>
          <x:t xml:space="preserve">ibm-granite/granite-3.2-8b-instruct</x:t>
        </x:is>
      </x:c>
      <x:c s="14" r="C56" t="inlineStr">
        <x:is>
          <x:t xml:space="preserve">granite-3.2-8b-instruct</x:t>
        </x:is>
      </x:c>
      <x:c s="15" r="D56" t="n">
        <x:v>8</x:v>
      </x:c>
      <x:c s="15" r="E56"/>
      <x:c s="14" r="F56" t="inlineStr">
        <x:is>
          <x:t xml:space="preserve">general chat</x:t>
        </x:is>
      </x:c>
      <x:c s="14" r="G56" t="inlineStr">
        <x:is>
          <x:t xml:space="preserve">text</x:t>
        </x:is>
      </x:c>
      <x:c r="H56" t="inlineStr">
        <x:is>
          <x:t xml:space="preserve">instruct</x:t>
        </x:is>
      </x:c>
      <x:c r="I56" t="inlineStr">
        <x:is>
          <x:t xml:space="preserve">Dense</x:t>
        </x:is>
      </x:c>
      <x:c s="16" r="J56" t="inlineStr">
        <x:is>
          <x:t xml:space="preserve">open</x:t>
        </x:is>
      </x:c>
      <x:c s="17" r="K56" t="inlineStr">
        <x:is>
          <x:t xml:space="preserve">https://huggingface.co/ibm-granite/granite-3.2-8b-instruct</x:t>
        </x:is>
      </x:c>
      <x:c s="17" r="L56" t="inlineStr">
        <x:is>
          <x:t xml:space="preserve"/>
        </x:is>
      </x:c>
      <x:c s="14" r="M56" t="inlineStr">
        <x:is>
          <x:t xml:space="preserve">BF16/FP16</x:t>
        </x:is>
      </x:c>
      <x:c s="15" r="N56" t="n">
        <x:v>24.2</x:v>
      </x:c>
      <x:c s="14" r="O56" t="inlineStr">
        <x:is>
          <x:t xml:space="preserve">BF16/FP16</x:t>
        </x:is>
      </x:c>
      <x:c s="15" r="P56" t="n">
        <x:v>24.2</x:v>
      </x:c>
      <x:c s="14" r="Q56" t="inlineStr">
        <x:is>
          <x:t xml:space="preserve">Comfortable</x:t>
        </x:is>
      </x:c>
      <x:c s="18" r="R56" t="inlineStr">
        <x:is>
          <x:t xml:space="preserve">Granite 3.2 instruct model.</x:t>
        </x:is>
      </x:c>
      <x:c s="14" r="S56" t="inlineStr">
        <x:is>
          <x:t xml:space="preserve">current_family_page_2026-03-27</x:t>
        </x:is>
      </x:c>
      <x:c s="17" r="T56" t="inlineStr">
        <x:is>
          <x:t xml:space="preserve">https://huggingface.co/ibm-granite</x:t>
        </x:is>
      </x:c>
      <x:c s="14" r="U56" t="inlineStr">
        <x:is>
          <x:t xml:space="preserve">Transformers; GGUF</x:t>
        </x:is>
      </x:c>
      <x:c s="15" r="V56" t="n">
        <x:v>24.2</x:v>
      </x:c>
      <x:c s="15" r="W56" t="n">
        <x:v>14.1</x:v>
      </x:c>
      <x:c s="15" r="X56" t="n">
        <x:v>11.6</x:v>
      </x:c>
      <x:c s="15" r="Y56" t="n">
        <x:v>10.3</x:v>
      </x:c>
      <x:c s="15" r="Z56" t="n">
        <x:v>9.1</x:v>
      </x:c>
      <x:c s="15" r="AA56" t="n">
        <x:v>7.8</x:v>
      </x:c>
      <x:c s="15" r="AB56" t="n">
        <x:v>6.5</x:v>
      </x:c>
    </x:row>
    <x:row r="57">
      <x:c r="A57" t="inlineStr">
        <x:is>
          <x:t xml:space="preserve">IBM Granite</x:t>
        </x:is>
      </x:c>
      <x:c s="14" r="B57" t="inlineStr">
        <x:is>
          <x:t xml:space="preserve">ibm-granite/granite-3.3-8b-math-prm-v2</x:t>
        </x:is>
      </x:c>
      <x:c s="14" r="C57" t="inlineStr">
        <x:is>
          <x:t xml:space="preserve">granite-3.3-8b-math-prm-v2</x:t>
        </x:is>
      </x:c>
      <x:c s="15" r="D57" t="n">
        <x:v>8</x:v>
      </x:c>
      <x:c s="15" r="E57"/>
      <x:c s="14" r="F57" t="inlineStr">
        <x:is>
          <x:t xml:space="preserve">math reward / verifier</x:t>
        </x:is>
      </x:c>
      <x:c s="14" r="G57" t="inlineStr">
        <x:is>
          <x:t xml:space="preserve">text</x:t>
        </x:is>
      </x:c>
      <x:c r="H57" t="inlineStr">
        <x:is>
          <x:t xml:space="preserve">specialized</x:t>
        </x:is>
      </x:c>
      <x:c r="I57" t="inlineStr">
        <x:is>
          <x:t xml:space="preserve">Dense</x:t>
        </x:is>
      </x:c>
      <x:c s="16" r="J57" t="inlineStr">
        <x:is>
          <x:t xml:space="preserve">open</x:t>
        </x:is>
      </x:c>
      <x:c s="17" r="K57" t="inlineStr">
        <x:is>
          <x:t xml:space="preserve">https://huggingface.co/ibm-granite/granite-3.3-8b-math-prm-v2</x:t>
        </x:is>
      </x:c>
      <x:c s="17" r="L57" t="inlineStr">
        <x:is>
          <x:t xml:space="preserve"/>
        </x:is>
      </x:c>
      <x:c s="14" r="M57" t="inlineStr">
        <x:is>
          <x:t xml:space="preserve">BF16/FP16</x:t>
        </x:is>
      </x:c>
      <x:c s="15" r="N57" t="n">
        <x:v>24.2</x:v>
      </x:c>
      <x:c s="14" r="O57" t="inlineStr">
        <x:is>
          <x:t xml:space="preserve">BF16/FP16</x:t>
        </x:is>
      </x:c>
      <x:c s="15" r="P57" t="n">
        <x:v>24.2</x:v>
      </x:c>
      <x:c s="14" r="Q57" t="inlineStr">
        <x:is>
          <x:t xml:space="preserve">Comfortable</x:t>
        </x:is>
      </x:c>
      <x:c s="18" r="R57" t="inlineStr">
        <x:is>
          <x:t xml:space="preserve">Specialized process-reward / verifier model.</x:t>
        </x:is>
      </x:c>
      <x:c s="14" r="S57" t="inlineStr">
        <x:is>
          <x:t xml:space="preserve">current_repo_page_2026-03-27</x:t>
        </x:is>
      </x:c>
      <x:c s="17" r="T57" t="inlineStr">
        <x:is>
          <x:t xml:space="preserve">https://huggingface.co/ibm-granite</x:t>
        </x:is>
      </x:c>
      <x:c s="14" r="U57" t="inlineStr">
        <x:is>
          <x:t xml:space="preserve">Transformers; GGUF</x:t>
        </x:is>
      </x:c>
      <x:c s="15" r="V57" t="n">
        <x:v>24.2</x:v>
      </x:c>
      <x:c s="15" r="W57" t="n">
        <x:v>14.1</x:v>
      </x:c>
      <x:c s="15" r="X57" t="n">
        <x:v>11.6</x:v>
      </x:c>
      <x:c s="15" r="Y57" t="n">
        <x:v>10.3</x:v>
      </x:c>
      <x:c s="15" r="Z57" t="n">
        <x:v>9.1</x:v>
      </x:c>
      <x:c s="15" r="AA57" t="n">
        <x:v>7.8</x:v>
      </x:c>
      <x:c s="15" r="AB57" t="n">
        <x:v>6.5</x:v>
      </x:c>
    </x:row>
    <x:row r="58">
      <x:c r="A58" t="inlineStr">
        <x:is>
          <x:t xml:space="preserve">IBM Granite</x:t>
        </x:is>
      </x:c>
      <x:c s="14" r="B58" t="inlineStr">
        <x:is>
          <x:t xml:space="preserve">ibm-granite/granite-4.0-h-tiny</x:t>
        </x:is>
      </x:c>
      <x:c s="14" r="C58" t="inlineStr">
        <x:is>
          <x:t xml:space="preserve">granite-4.0-h-tiny</x:t>
        </x:is>
      </x:c>
      <x:c s="15" r="D58" t="n">
        <x:v>7</x:v>
      </x:c>
      <x:c s="15" r="E58"/>
      <x:c s="14" r="F58" t="inlineStr">
        <x:is>
          <x:t xml:space="preserve">general chat</x:t>
        </x:is>
      </x:c>
      <x:c s="14" r="G58" t="inlineStr">
        <x:is>
          <x:t xml:space="preserve">text</x:t>
        </x:is>
      </x:c>
      <x:c r="H58" t="inlineStr">
        <x:is>
          <x:t xml:space="preserve">instruct</x:t>
        </x:is>
      </x:c>
      <x:c r="I58" t="inlineStr">
        <x:is>
          <x:t xml:space="preserve">Dense</x:t>
        </x:is>
      </x:c>
      <x:c s="16" r="J58" t="inlineStr">
        <x:is>
          <x:t xml:space="preserve">open</x:t>
        </x:is>
      </x:c>
      <x:c s="17" r="K58" t="inlineStr">
        <x:is>
          <x:t xml:space="preserve">https://huggingface.co/ibm-granite/granite-4.0-h-tiny</x:t>
        </x:is>
      </x:c>
      <x:c s="17" r="L58" t="inlineStr">
        <x:is>
          <x:t xml:space="preserve"/>
        </x:is>
      </x:c>
      <x:c s="14" r="M58" t="inlineStr">
        <x:is>
          <x:t xml:space="preserve">BF16/FP16</x:t>
        </x:is>
      </x:c>
      <x:c s="15" r="N58" t="n">
        <x:v>21.7</x:v>
      </x:c>
      <x:c s="14" r="O58" t="inlineStr">
        <x:is>
          <x:t xml:space="preserve">BF16/FP16</x:t>
        </x:is>
      </x:c>
      <x:c s="15" r="P58" t="n">
        <x:v>21.7</x:v>
      </x:c>
      <x:c s="14" r="Q58" t="inlineStr">
        <x:is>
          <x:t xml:space="preserve">Comfortable</x:t>
        </x:is>
      </x:c>
      <x:c s="18" r="R58" t="inlineStr">
        <x:is>
          <x:t xml:space="preserve">Hybrid Granite 4.0 tiny model.</x:t>
        </x:is>
      </x:c>
      <x:c s="14" r="S58" t="inlineStr">
        <x:is>
          <x:t xml:space="preserve">current_family_page_2026-03-27</x:t>
        </x:is>
      </x:c>
      <x:c s="17" r="T58" t="inlineStr">
        <x:is>
          <x:t xml:space="preserve">https://huggingface.co/ibm-granite</x:t>
        </x:is>
      </x:c>
      <x:c s="14" r="U58" t="inlineStr">
        <x:is>
          <x:t xml:space="preserve">Transformers; GGUF</x:t>
        </x:is>
      </x:c>
      <x:c s="15" r="V58" t="n">
        <x:v>21.7</x:v>
      </x:c>
      <x:c s="15" r="W58" t="n">
        <x:v>12.9</x:v>
      </x:c>
      <x:c s="15" r="X58" t="n">
        <x:v>10.6</x:v>
      </x:c>
      <x:c s="15" r="Y58" t="n">
        <x:v>9.5</x:v>
      </x:c>
      <x:c s="15" r="Z58" t="n">
        <x:v>8.4</x:v>
      </x:c>
      <x:c s="15" r="AA58" t="n">
        <x:v>7.3</x:v>
      </x:c>
      <x:c s="15" r="AB58" t="n">
        <x:v>6.2</x:v>
      </x:c>
    </x:row>
    <x:row r="59">
      <x:c r="A59" t="inlineStr">
        <x:is>
          <x:t xml:space="preserve">IBM Granite</x:t>
        </x:is>
      </x:c>
      <x:c s="14" r="B59" t="inlineStr">
        <x:is>
          <x:t xml:space="preserve">ibm-granite/granite-4.0-h-tiny-base</x:t>
        </x:is>
      </x:c>
      <x:c s="14" r="C59" t="inlineStr">
        <x:is>
          <x:t xml:space="preserve">granite-4.0-h-tiny-base</x:t>
        </x:is>
      </x:c>
      <x:c s="15" r="D59" t="n">
        <x:v>7</x:v>
      </x:c>
      <x:c s="15" r="E59"/>
      <x:c s="14" r="F59" t="inlineStr">
        <x:is>
          <x:t xml:space="preserve">general</x:t>
        </x:is>
      </x:c>
      <x:c s="14" r="G59" t="inlineStr">
        <x:is>
          <x:t xml:space="preserve">text</x:t>
        </x:is>
      </x:c>
      <x:c r="H59" t="inlineStr">
        <x:is>
          <x:t xml:space="preserve">base</x:t>
        </x:is>
      </x:c>
      <x:c r="I59" t="inlineStr">
        <x:is>
          <x:t xml:space="preserve">Dense</x:t>
        </x:is>
      </x:c>
      <x:c s="16" r="J59" t="inlineStr">
        <x:is>
          <x:t xml:space="preserve">open</x:t>
        </x:is>
      </x:c>
      <x:c s="17" r="K59" t="inlineStr">
        <x:is>
          <x:t xml:space="preserve">https://huggingface.co/ibm-granite/granite-4.0-h-tiny-base</x:t>
        </x:is>
      </x:c>
      <x:c s="17" r="L59" t="inlineStr">
        <x:is>
          <x:t xml:space="preserve"/>
        </x:is>
      </x:c>
      <x:c s="14" r="M59" t="inlineStr">
        <x:is>
          <x:t xml:space="preserve">BF16/FP16</x:t>
        </x:is>
      </x:c>
      <x:c s="15" r="N59" t="n">
        <x:v>21.7</x:v>
      </x:c>
      <x:c s="14" r="O59" t="inlineStr">
        <x:is>
          <x:t xml:space="preserve">BF16/FP16</x:t>
        </x:is>
      </x:c>
      <x:c s="15" r="P59" t="n">
        <x:v>21.7</x:v>
      </x:c>
      <x:c s="14" r="Q59" t="inlineStr">
        <x:is>
          <x:t xml:space="preserve">Comfortable</x:t>
        </x:is>
      </x:c>
      <x:c s="18" r="R59" t="inlineStr">
        <x:is>
          <x:t xml:space="preserve">Hybrid Granite 4.0 tiny base model.</x:t>
        </x:is>
      </x:c>
      <x:c s="14" r="S59" t="inlineStr">
        <x:is>
          <x:t xml:space="preserve">current_family_page_2026-03-27</x:t>
        </x:is>
      </x:c>
      <x:c s="17" r="T59" t="inlineStr">
        <x:is>
          <x:t xml:space="preserve">https://huggingface.co/ibm-granite</x:t>
        </x:is>
      </x:c>
      <x:c s="14" r="U59" t="inlineStr">
        <x:is>
          <x:t xml:space="preserve">Transformers; GGUF</x:t>
        </x:is>
      </x:c>
      <x:c s="15" r="V59" t="n">
        <x:v>21.7</x:v>
      </x:c>
      <x:c s="15" r="W59" t="n">
        <x:v>12.9</x:v>
      </x:c>
      <x:c s="15" r="X59" t="n">
        <x:v>10.6</x:v>
      </x:c>
      <x:c s="15" r="Y59" t="n">
        <x:v>9.5</x:v>
      </x:c>
      <x:c s="15" r="Z59" t="n">
        <x:v>8.4</x:v>
      </x:c>
      <x:c s="15" r="AA59" t="n">
        <x:v>7.3</x:v>
      </x:c>
      <x:c s="15" r="AB59" t="n">
        <x:v>6.2</x:v>
      </x:c>
    </x:row>
    <x:row r="60">
      <x:c r="A60" t="inlineStr">
        <x:is>
          <x:t xml:space="preserve">IBM Granite</x:t>
        </x:is>
      </x:c>
      <x:c s="14" r="B60" t="inlineStr">
        <x:is>
          <x:t xml:space="preserve">ibm-granite/granite-4.0-tiny-base-preview</x:t>
        </x:is>
      </x:c>
      <x:c s="14" r="C60" t="inlineStr">
        <x:is>
          <x:t xml:space="preserve">granite-4.0-tiny-base-preview</x:t>
        </x:is>
      </x:c>
      <x:c s="15" r="D60" t="n">
        <x:v>7</x:v>
      </x:c>
      <x:c s="15" r="E60"/>
      <x:c s="14" r="F60" t="inlineStr">
        <x:is>
          <x:t xml:space="preserve">general</x:t>
        </x:is>
      </x:c>
      <x:c s="14" r="G60" t="inlineStr">
        <x:is>
          <x:t xml:space="preserve">text</x:t>
        </x:is>
      </x:c>
      <x:c r="H60" t="inlineStr">
        <x:is>
          <x:t xml:space="preserve">base</x:t>
        </x:is>
      </x:c>
      <x:c r="I60" t="inlineStr">
        <x:is>
          <x:t xml:space="preserve">Dense</x:t>
        </x:is>
      </x:c>
      <x:c s="16" r="J60" t="inlineStr">
        <x:is>
          <x:t xml:space="preserve">open</x:t>
        </x:is>
      </x:c>
      <x:c s="17" r="K60" t="inlineStr">
        <x:is>
          <x:t xml:space="preserve">https://huggingface.co/ibm-granite/granite-4.0-tiny-base-preview</x:t>
        </x:is>
      </x:c>
      <x:c s="17" r="L60" t="inlineStr">
        <x:is>
          <x:t xml:space="preserve"/>
        </x:is>
      </x:c>
      <x:c s="14" r="M60" t="inlineStr">
        <x:is>
          <x:t xml:space="preserve">BF16/FP16</x:t>
        </x:is>
      </x:c>
      <x:c s="15" r="N60" t="n">
        <x:v>21.7</x:v>
      </x:c>
      <x:c s="14" r="O60" t="inlineStr">
        <x:is>
          <x:t xml:space="preserve">BF16/FP16</x:t>
        </x:is>
      </x:c>
      <x:c s="15" r="P60" t="n">
        <x:v>21.7</x:v>
      </x:c>
      <x:c s="14" r="Q60" t="inlineStr">
        <x:is>
          <x:t xml:space="preserve">Comfortable</x:t>
        </x:is>
      </x:c>
      <x:c s="18" r="R60" t="inlineStr">
        <x:is>
          <x:t xml:space="preserve">Granite 4.0 preview base model.</x:t>
        </x:is>
      </x:c>
      <x:c s="14" r="S60" t="inlineStr">
        <x:is>
          <x:t xml:space="preserve">current_family_page_2026-03-27</x:t>
        </x:is>
      </x:c>
      <x:c s="17" r="T60" t="inlineStr">
        <x:is>
          <x:t xml:space="preserve">https://huggingface.co/ibm-granite</x:t>
        </x:is>
      </x:c>
      <x:c s="14" r="U60" t="inlineStr">
        <x:is>
          <x:t xml:space="preserve">Transformers; GGUF</x:t>
        </x:is>
      </x:c>
      <x:c s="15" r="V60" t="n">
        <x:v>21.7</x:v>
      </x:c>
      <x:c s="15" r="W60" t="n">
        <x:v>12.9</x:v>
      </x:c>
      <x:c s="15" r="X60" t="n">
        <x:v>10.6</x:v>
      </x:c>
      <x:c s="15" r="Y60" t="n">
        <x:v>9.5</x:v>
      </x:c>
      <x:c s="15" r="Z60" t="n">
        <x:v>8.4</x:v>
      </x:c>
      <x:c s="15" r="AA60" t="n">
        <x:v>7.3</x:v>
      </x:c>
      <x:c s="15" r="AB60" t="n">
        <x:v>6.2</x:v>
      </x:c>
    </x:row>
    <x:row r="61">
      <x:c r="A61" t="inlineStr">
        <x:is>
          <x:t xml:space="preserve">IBM Granite</x:t>
        </x:is>
      </x:c>
      <x:c s="14" r="B61" t="inlineStr">
        <x:is>
          <x:t xml:space="preserve">ibm-granite/granite-4.0-tiny-preview</x:t>
        </x:is>
      </x:c>
      <x:c s="14" r="C61" t="inlineStr">
        <x:is>
          <x:t xml:space="preserve">granite-4.0-tiny-preview</x:t>
        </x:is>
      </x:c>
      <x:c s="15" r="D61" t="n">
        <x:v>7</x:v>
      </x:c>
      <x:c s="15" r="E61"/>
      <x:c s="14" r="F61" t="inlineStr">
        <x:is>
          <x:t xml:space="preserve">general chat</x:t>
        </x:is>
      </x:c>
      <x:c s="14" r="G61" t="inlineStr">
        <x:is>
          <x:t xml:space="preserve">text</x:t>
        </x:is>
      </x:c>
      <x:c r="H61" t="inlineStr">
        <x:is>
          <x:t xml:space="preserve">instruct</x:t>
        </x:is>
      </x:c>
      <x:c r="I61" t="inlineStr">
        <x:is>
          <x:t xml:space="preserve">Dense</x:t>
        </x:is>
      </x:c>
      <x:c s="16" r="J61" t="inlineStr">
        <x:is>
          <x:t xml:space="preserve">open</x:t>
        </x:is>
      </x:c>
      <x:c s="17" r="K61" t="inlineStr">
        <x:is>
          <x:t xml:space="preserve">https://huggingface.co/ibm-granite/granite-4.0-tiny-preview</x:t>
        </x:is>
      </x:c>
      <x:c s="17" r="L61" t="inlineStr">
        <x:is>
          <x:t xml:space="preserve"/>
        </x:is>
      </x:c>
      <x:c s="14" r="M61" t="inlineStr">
        <x:is>
          <x:t xml:space="preserve">BF16/FP16</x:t>
        </x:is>
      </x:c>
      <x:c s="15" r="N61" t="n">
        <x:v>21.7</x:v>
      </x:c>
      <x:c s="14" r="O61" t="inlineStr">
        <x:is>
          <x:t xml:space="preserve">BF16/FP16</x:t>
        </x:is>
      </x:c>
      <x:c s="15" r="P61" t="n">
        <x:v>21.7</x:v>
      </x:c>
      <x:c s="14" r="Q61" t="inlineStr">
        <x:is>
          <x:t xml:space="preserve">Comfortable</x:t>
        </x:is>
      </x:c>
      <x:c s="18" r="R61" t="inlineStr">
        <x:is>
          <x:t xml:space="preserve">Granite 4.0 preview model.</x:t>
        </x:is>
      </x:c>
      <x:c s="14" r="S61" t="inlineStr">
        <x:is>
          <x:t xml:space="preserve">current_family_page_2026-03-27</x:t>
        </x:is>
      </x:c>
      <x:c s="17" r="T61" t="inlineStr">
        <x:is>
          <x:t xml:space="preserve">https://huggingface.co/ibm-granite</x:t>
        </x:is>
      </x:c>
      <x:c s="14" r="U61" t="inlineStr">
        <x:is>
          <x:t xml:space="preserve">Transformers; GGUF</x:t>
        </x:is>
      </x:c>
      <x:c s="15" r="V61" t="n">
        <x:v>21.7</x:v>
      </x:c>
      <x:c s="15" r="W61" t="n">
        <x:v>12.9</x:v>
      </x:c>
      <x:c s="15" r="X61" t="n">
        <x:v>10.6</x:v>
      </x:c>
      <x:c s="15" r="Y61" t="n">
        <x:v>9.5</x:v>
      </x:c>
      <x:c s="15" r="Z61" t="n">
        <x:v>8.4</x:v>
      </x:c>
      <x:c s="15" r="AA61" t="n">
        <x:v>7.3</x:v>
      </x:c>
      <x:c s="15" r="AB61" t="n">
        <x:v>6.2</x:v>
      </x:c>
    </x:row>
    <x:row r="62">
      <x:c r="A62" t="inlineStr">
        <x:is>
          <x:t xml:space="preserve">IBM Granite</x:t>
        </x:is>
      </x:c>
      <x:c s="14" r="B62" t="inlineStr">
        <x:is>
          <x:t xml:space="preserve">ibm-granite/granite-4.0-h-micro</x:t>
        </x:is>
      </x:c>
      <x:c s="14" r="C62" t="inlineStr">
        <x:is>
          <x:t xml:space="preserve">granite-4.0-h-micro</x:t>
        </x:is>
      </x:c>
      <x:c s="15" r="D62" t="n">
        <x:v>3</x:v>
      </x:c>
      <x:c s="15" r="E62"/>
      <x:c s="14" r="F62" t="inlineStr">
        <x:is>
          <x:t xml:space="preserve">general chat</x:t>
        </x:is>
      </x:c>
      <x:c s="14" r="G62" t="inlineStr">
        <x:is>
          <x:t xml:space="preserve">text</x:t>
        </x:is>
      </x:c>
      <x:c r="H62" t="inlineStr">
        <x:is>
          <x:t xml:space="preserve">instruct</x:t>
        </x:is>
      </x:c>
      <x:c r="I62" t="inlineStr">
        <x:is>
          <x:t xml:space="preserve">Dense</x:t>
        </x:is>
      </x:c>
      <x:c s="16" r="J62" t="inlineStr">
        <x:is>
          <x:t xml:space="preserve">open</x:t>
        </x:is>
      </x:c>
      <x:c s="17" r="K62" t="inlineStr">
        <x:is>
          <x:t xml:space="preserve">https://huggingface.co/ibm-granite/granite-4.0-h-micro</x:t>
        </x:is>
      </x:c>
      <x:c s="17" r="L62" t="inlineStr">
        <x:is>
          <x:t xml:space="preserve"/>
        </x:is>
      </x:c>
      <x:c s="14" r="M62" t="inlineStr">
        <x:is>
          <x:t xml:space="preserve">BF16/FP16</x:t>
        </x:is>
      </x:c>
      <x:c s="15" r="N62" t="n">
        <x:v>11.6</x:v>
      </x:c>
      <x:c s="14" r="O62" t="inlineStr">
        <x:is>
          <x:t xml:space="preserve">BF16/FP16</x:t>
        </x:is>
      </x:c>
      <x:c s="15" r="P62" t="n">
        <x:v>11.6</x:v>
      </x:c>
      <x:c s="14" r="Q62" t="inlineStr">
        <x:is>
          <x:t xml:space="preserve">Comfortable</x:t>
        </x:is>
      </x:c>
      <x:c s="18" r="R62" t="inlineStr">
        <x:is>
          <x:t xml:space="preserve">Hybrid Granite 4.0 micro model.</x:t>
        </x:is>
      </x:c>
      <x:c s="14" r="S62" t="inlineStr">
        <x:is>
          <x:t xml:space="preserve">current_family_page_2026-03-27</x:t>
        </x:is>
      </x:c>
      <x:c s="17" r="T62" t="inlineStr">
        <x:is>
          <x:t xml:space="preserve">https://huggingface.co/ibm-granite</x:t>
        </x:is>
      </x:c>
      <x:c s="14" r="U62" t="inlineStr">
        <x:is>
          <x:t xml:space="preserve">Transformers; GGUF</x:t>
        </x:is>
      </x:c>
      <x:c s="15" r="V62" t="n">
        <x:v>11.6</x:v>
      </x:c>
      <x:c s="15" r="W62" t="n">
        <x:v>7.8</x:v>
      </x:c>
      <x:c s="15" r="X62" t="n">
        <x:v>6.8</x:v>
      </x:c>
      <x:c s="15" r="Y62" t="n">
        <x:v>6.4</x:v>
      </x:c>
      <x:c s="15" r="Z62" t="n">
        <x:v>5.9</x:v>
      </x:c>
      <x:c s="15" r="AA62" t="n">
        <x:v>5.4</x:v>
      </x:c>
      <x:c s="15" r="AB62" t="n">
        <x:v>4.9</x:v>
      </x:c>
    </x:row>
    <x:row r="63">
      <x:c r="A63" t="inlineStr">
        <x:is>
          <x:t xml:space="preserve">IBM Granite</x:t>
        </x:is>
      </x:c>
      <x:c s="14" r="B63" t="inlineStr">
        <x:is>
          <x:t xml:space="preserve">ibm-granite/granite-4.0-h-micro-base</x:t>
        </x:is>
      </x:c>
      <x:c s="14" r="C63" t="inlineStr">
        <x:is>
          <x:t xml:space="preserve">granite-4.0-h-micro-base</x:t>
        </x:is>
      </x:c>
      <x:c s="15" r="D63" t="n">
        <x:v>3</x:v>
      </x:c>
      <x:c s="15" r="E63"/>
      <x:c s="14" r="F63" t="inlineStr">
        <x:is>
          <x:t xml:space="preserve">general</x:t>
        </x:is>
      </x:c>
      <x:c s="14" r="G63" t="inlineStr">
        <x:is>
          <x:t xml:space="preserve">text</x:t>
        </x:is>
      </x:c>
      <x:c r="H63" t="inlineStr">
        <x:is>
          <x:t xml:space="preserve">base</x:t>
        </x:is>
      </x:c>
      <x:c r="I63" t="inlineStr">
        <x:is>
          <x:t xml:space="preserve">Dense</x:t>
        </x:is>
      </x:c>
      <x:c s="16" r="J63" t="inlineStr">
        <x:is>
          <x:t xml:space="preserve">open</x:t>
        </x:is>
      </x:c>
      <x:c s="17" r="K63" t="inlineStr">
        <x:is>
          <x:t xml:space="preserve">https://huggingface.co/ibm-granite/granite-4.0-h-micro-base</x:t>
        </x:is>
      </x:c>
      <x:c s="17" r="L63" t="inlineStr">
        <x:is>
          <x:t xml:space="preserve"/>
        </x:is>
      </x:c>
      <x:c s="14" r="M63" t="inlineStr">
        <x:is>
          <x:t xml:space="preserve">BF16/FP16</x:t>
        </x:is>
      </x:c>
      <x:c s="15" r="N63" t="n">
        <x:v>11.6</x:v>
      </x:c>
      <x:c s="14" r="O63" t="inlineStr">
        <x:is>
          <x:t xml:space="preserve">BF16/FP16</x:t>
        </x:is>
      </x:c>
      <x:c s="15" r="P63" t="n">
        <x:v>11.6</x:v>
      </x:c>
      <x:c s="14" r="Q63" t="inlineStr">
        <x:is>
          <x:t xml:space="preserve">Comfortable</x:t>
        </x:is>
      </x:c>
      <x:c s="18" r="R63" t="inlineStr">
        <x:is>
          <x:t xml:space="preserve">Hybrid Granite 4.0 micro base model.</x:t>
        </x:is>
      </x:c>
      <x:c s="14" r="S63" t="inlineStr">
        <x:is>
          <x:t xml:space="preserve">current_family_page_2026-03-27</x:t>
        </x:is>
      </x:c>
      <x:c s="17" r="T63" t="inlineStr">
        <x:is>
          <x:t xml:space="preserve">https://huggingface.co/ibm-granite</x:t>
        </x:is>
      </x:c>
      <x:c s="14" r="U63" t="inlineStr">
        <x:is>
          <x:t xml:space="preserve">Transformers; GGUF</x:t>
        </x:is>
      </x:c>
      <x:c s="15" r="V63" t="n">
        <x:v>11.6</x:v>
      </x:c>
      <x:c s="15" r="W63" t="n">
        <x:v>7.8</x:v>
      </x:c>
      <x:c s="15" r="X63" t="n">
        <x:v>6.8</x:v>
      </x:c>
      <x:c s="15" r="Y63" t="n">
        <x:v>6.4</x:v>
      </x:c>
      <x:c s="15" r="Z63" t="n">
        <x:v>5.9</x:v>
      </x:c>
      <x:c s="15" r="AA63" t="n">
        <x:v>5.4</x:v>
      </x:c>
      <x:c s="15" r="AB63" t="n">
        <x:v>4.9</x:v>
      </x:c>
    </x:row>
    <x:row r="64">
      <x:c r="A64" t="inlineStr">
        <x:is>
          <x:t xml:space="preserve">IBM Granite</x:t>
        </x:is>
      </x:c>
      <x:c s="14" r="B64" t="inlineStr">
        <x:is>
          <x:t xml:space="preserve">ibm-granite/granite-3.2-2b-instruct</x:t>
        </x:is>
      </x:c>
      <x:c s="14" r="C64" t="inlineStr">
        <x:is>
          <x:t xml:space="preserve">granite-3.2-2b-instruct</x:t>
        </x:is>
      </x:c>
      <x:c s="15" r="D64" t="n">
        <x:v>2</x:v>
      </x:c>
      <x:c s="15" r="E64"/>
      <x:c s="14" r="F64" t="inlineStr">
        <x:is>
          <x:t xml:space="preserve">general chat</x:t>
        </x:is>
      </x:c>
      <x:c s="14" r="G64" t="inlineStr">
        <x:is>
          <x:t xml:space="preserve">text</x:t>
        </x:is>
      </x:c>
      <x:c r="H64" t="inlineStr">
        <x:is>
          <x:t xml:space="preserve">instruct</x:t>
        </x:is>
      </x:c>
      <x:c r="I64" t="inlineStr">
        <x:is>
          <x:t xml:space="preserve">Dense</x:t>
        </x:is>
      </x:c>
      <x:c s="16" r="J64" t="inlineStr">
        <x:is>
          <x:t xml:space="preserve">open</x:t>
        </x:is>
      </x:c>
      <x:c s="17" r="K64" t="inlineStr">
        <x:is>
          <x:t xml:space="preserve">https://huggingface.co/ibm-granite/granite-3.2-2b-instruct</x:t>
        </x:is>
      </x:c>
      <x:c s="17" r="L64" t="inlineStr">
        <x:is>
          <x:t xml:space="preserve"/>
        </x:is>
      </x:c>
      <x:c s="14" r="M64" t="inlineStr">
        <x:is>
          <x:t xml:space="preserve">BF16/FP16</x:t>
        </x:is>
      </x:c>
      <x:c s="15" r="N64" t="n">
        <x:v>9.1</x:v>
      </x:c>
      <x:c s="14" r="O64" t="inlineStr">
        <x:is>
          <x:t xml:space="preserve">BF16/FP16</x:t>
        </x:is>
      </x:c>
      <x:c s="15" r="P64" t="n">
        <x:v>9.1</x:v>
      </x:c>
      <x:c s="14" r="Q64" t="inlineStr">
        <x:is>
          <x:t xml:space="preserve">Comfortable</x:t>
        </x:is>
      </x:c>
      <x:c s="18" r="R64" t="inlineStr">
        <x:is>
          <x:t xml:space="preserve">Granite 3.2 instruct model.</x:t>
        </x:is>
      </x:c>
      <x:c s="14" r="S64" t="inlineStr">
        <x:is>
          <x:t xml:space="preserve">current_family_page_2026-03-27</x:t>
        </x:is>
      </x:c>
      <x:c s="17" r="T64" t="inlineStr">
        <x:is>
          <x:t xml:space="preserve">https://huggingface.co/ibm-granite</x:t>
        </x:is>
      </x:c>
      <x:c s="14" r="U64" t="inlineStr">
        <x:is>
          <x:t xml:space="preserve">Transformers; GGUF</x:t>
        </x:is>
      </x:c>
      <x:c s="15" r="V64" t="n">
        <x:v>9.1</x:v>
      </x:c>
      <x:c s="15" r="W64" t="n">
        <x:v>6.5</x:v>
      </x:c>
      <x:c s="15" r="X64" t="n">
        <x:v>5.9</x:v>
      </x:c>
      <x:c s="15" r="Y64" t="n">
        <x:v>5.6</x:v>
      </x:c>
      <x:c s="15" r="Z64" t="n">
        <x:v>5.3</x:v>
      </x:c>
      <x:c s="15" r="AA64" t="n">
        <x:v>4.9</x:v>
      </x:c>
      <x:c s="15" r="AB64" t="n">
        <x:v>4.6</x:v>
      </x:c>
    </x:row>
    <x:row r="65">
      <x:c r="A65" t="inlineStr">
        <x:is>
          <x:t xml:space="preserve">IBM Granite</x:t>
        </x:is>
      </x:c>
      <x:c s="14" r="B65" t="inlineStr">
        <x:is>
          <x:t xml:space="preserve">ibm-granite/granite-3.3-2b-instruct</x:t>
        </x:is>
      </x:c>
      <x:c s="14" r="C65" t="inlineStr">
        <x:is>
          <x:t xml:space="preserve">granite-3.3-2b-instruct</x:t>
        </x:is>
      </x:c>
      <x:c s="15" r="D65" t="n">
        <x:v>2</x:v>
      </x:c>
      <x:c s="15" r="E65"/>
      <x:c s="14" r="F65" t="inlineStr">
        <x:is>
          <x:t xml:space="preserve">general chat</x:t>
        </x:is>
      </x:c>
      <x:c s="14" r="G65" t="inlineStr">
        <x:is>
          <x:t xml:space="preserve">text</x:t>
        </x:is>
      </x:c>
      <x:c r="H65" t="inlineStr">
        <x:is>
          <x:t xml:space="preserve">instruct</x:t>
        </x:is>
      </x:c>
      <x:c r="I65" t="inlineStr">
        <x:is>
          <x:t xml:space="preserve">Dense</x:t>
        </x:is>
      </x:c>
      <x:c s="16" r="J65" t="inlineStr">
        <x:is>
          <x:t xml:space="preserve">open</x:t>
        </x:is>
      </x:c>
      <x:c s="17" r="K65" t="inlineStr">
        <x:is>
          <x:t xml:space="preserve">https://huggingface.co/ibm-granite/granite-3.3-2b-instruct</x:t>
        </x:is>
      </x:c>
      <x:c s="17" r="L65" t="inlineStr">
        <x:is>
          <x:t xml:space="preserve"/>
        </x:is>
      </x:c>
      <x:c s="14" r="M65" t="inlineStr">
        <x:is>
          <x:t xml:space="preserve">BF16/FP16</x:t>
        </x:is>
      </x:c>
      <x:c s="15" r="N65" t="n">
        <x:v>9.1</x:v>
      </x:c>
      <x:c s="14" r="O65" t="inlineStr">
        <x:is>
          <x:t xml:space="preserve">BF16/FP16</x:t>
        </x:is>
      </x:c>
      <x:c s="15" r="P65" t="n">
        <x:v>9.1</x:v>
      </x:c>
      <x:c s="14" r="Q65" t="inlineStr">
        <x:is>
          <x:t xml:space="preserve">Comfortable</x:t>
        </x:is>
      </x:c>
      <x:c s="18" r="R65" t="inlineStr">
        <x:is>
          <x:t xml:space="preserve">Granite 3.3 instruct model.</x:t>
        </x:is>
      </x:c>
      <x:c s="14" r="S65" t="inlineStr">
        <x:is>
          <x:t xml:space="preserve">current_repo_page_2026-03-27</x:t>
        </x:is>
      </x:c>
      <x:c s="17" r="T65" t="inlineStr">
        <x:is>
          <x:t xml:space="preserve">https://huggingface.co/ibm-granite</x:t>
        </x:is>
      </x:c>
      <x:c s="14" r="U65" t="inlineStr">
        <x:is>
          <x:t xml:space="preserve">Transformers; GGUF</x:t>
        </x:is>
      </x:c>
      <x:c s="15" r="V65" t="n">
        <x:v>9.1</x:v>
      </x:c>
      <x:c s="15" r="W65" t="n">
        <x:v>6.5</x:v>
      </x:c>
      <x:c s="15" r="X65" t="n">
        <x:v>5.9</x:v>
      </x:c>
      <x:c s="15" r="Y65" t="n">
        <x:v>5.6</x:v>
      </x:c>
      <x:c s="15" r="Z65" t="n">
        <x:v>5.3</x:v>
      </x:c>
      <x:c s="15" r="AA65" t="n">
        <x:v>4.9</x:v>
      </x:c>
      <x:c s="15" r="AB65" t="n">
        <x:v>4.6</x:v>
      </x:c>
    </x:row>
    <x:row r="66">
      <x:c r="A66" t="inlineStr">
        <x:is>
          <x:t xml:space="preserve">IBM Granite</x:t>
        </x:is>
      </x:c>
      <x:c s="14" r="B66" t="inlineStr">
        <x:is>
          <x:t xml:space="preserve">ibm-granite/granite-vision-3.3-2b</x:t>
        </x:is>
      </x:c>
      <x:c s="14" r="C66" t="inlineStr">
        <x:is>
          <x:t xml:space="preserve">granite-vision-3.3-2b</x:t>
        </x:is>
      </x:c>
      <x:c s="15" r="D66" t="n">
        <x:v>2</x:v>
      </x:c>
      <x:c s="15" r="E66"/>
      <x:c s="14" r="F66" t="inlineStr">
        <x:is>
          <x:t xml:space="preserve">multimodal</x:t>
        </x:is>
      </x:c>
      <x:c s="14" r="G66" t="inlineStr">
        <x:is>
          <x:t xml:space="preserve">text+vision</x:t>
        </x:is>
      </x:c>
      <x:c r="H66" t="inlineStr">
        <x:is>
          <x:t xml:space="preserve">instruct</x:t>
        </x:is>
      </x:c>
      <x:c r="I66" t="inlineStr">
        <x:is>
          <x:t xml:space="preserve">Dense</x:t>
        </x:is>
      </x:c>
      <x:c s="16" r="J66" t="inlineStr">
        <x:is>
          <x:t xml:space="preserve">open</x:t>
        </x:is>
      </x:c>
      <x:c s="17" r="K66" t="inlineStr">
        <x:is>
          <x:t xml:space="preserve">https://huggingface.co/ibm-granite/granite-vision-3.3-2b</x:t>
        </x:is>
      </x:c>
      <x:c s="17" r="L66" t="inlineStr">
        <x:is>
          <x:t xml:space="preserve">https://huggingface.co/ibm-granite/granite-vision-3.3-2b-GGUF</x:t>
        </x:is>
      </x:c>
      <x:c s="14" r="M66" t="inlineStr">
        <x:is>
          <x:t xml:space="preserve">BF16/FP16</x:t>
        </x:is>
      </x:c>
      <x:c s="15" r="N66" t="n">
        <x:v>9.1</x:v>
      </x:c>
      <x:c s="14" r="O66" t="inlineStr">
        <x:is>
          <x:t xml:space="preserve">BF16/FP16</x:t>
        </x:is>
      </x:c>
      <x:c s="15" r="P66" t="n">
        <x:v>9.1</x:v>
      </x:c>
      <x:c s="14" r="Q66" t="inlineStr">
        <x:is>
          <x:t xml:space="preserve">Comfortable</x:t>
        </x:is>
      </x:c>
      <x:c s="18" r="R66" t="inlineStr">
        <x:is>
          <x:t xml:space="preserve">Vision-language model.</x:t>
        </x:is>
      </x:c>
      <x:c s="14" r="S66" t="inlineStr">
        <x:is>
          <x:t xml:space="preserve">current_family_page_2026-03-27</x:t>
        </x:is>
      </x:c>
      <x:c s="17" r="T66" t="inlineStr">
        <x:is>
          <x:t xml:space="preserve">https://huggingface.co/ibm-granite</x:t>
        </x:is>
      </x:c>
      <x:c s="14" r="U66" t="inlineStr">
        <x:is>
          <x:t xml:space="preserve">Transformers; GGUF</x:t>
        </x:is>
      </x:c>
      <x:c s="15" r="V66" t="n">
        <x:v>9.1</x:v>
      </x:c>
      <x:c s="15" r="W66" t="n">
        <x:v>6.5</x:v>
      </x:c>
      <x:c s="15" r="X66" t="n">
        <x:v>5.9</x:v>
      </x:c>
      <x:c s="15" r="Y66" t="n">
        <x:v>5.6</x:v>
      </x:c>
      <x:c s="15" r="Z66" t="n">
        <x:v>5.3</x:v>
      </x:c>
      <x:c s="15" r="AA66" t="n">
        <x:v>4.9</x:v>
      </x:c>
      <x:c s="15" r="AB66" t="n">
        <x:v>4.6</x:v>
      </x:c>
    </x:row>
    <x:row r="67">
      <x:c r="A67" t="inlineStr">
        <x:is>
          <x:t xml:space="preserve">IBM Granite</x:t>
        </x:is>
      </x:c>
      <x:c s="14" r="B67" t="inlineStr">
        <x:is>
          <x:t xml:space="preserve">ibm-granite/granite-4.0-micro</x:t>
        </x:is>
      </x:c>
      <x:c s="14" r="C67" t="inlineStr">
        <x:is>
          <x:t xml:space="preserve">granite-4.0-micro</x:t>
        </x:is>
      </x:c>
      <x:c s="15" r="D67" t="n">
        <x:v>1</x:v>
      </x:c>
      <x:c s="15" r="E67"/>
      <x:c s="14" r="F67" t="inlineStr">
        <x:is>
          <x:t xml:space="preserve">general chat</x:t>
        </x:is>
      </x:c>
      <x:c s="14" r="G67" t="inlineStr">
        <x:is>
          <x:t xml:space="preserve">text</x:t>
        </x:is>
      </x:c>
      <x:c r="H67" t="inlineStr">
        <x:is>
          <x:t xml:space="preserve">instruct</x:t>
        </x:is>
      </x:c>
      <x:c r="I67" t="inlineStr">
        <x:is>
          <x:t xml:space="preserve">Dense</x:t>
        </x:is>
      </x:c>
      <x:c s="16" r="J67" t="inlineStr">
        <x:is>
          <x:t xml:space="preserve">open</x:t>
        </x:is>
      </x:c>
      <x:c s="17" r="K67" t="inlineStr">
        <x:is>
          <x:t xml:space="preserve">https://huggingface.co/ibm-granite/granite-4.0-micro</x:t>
        </x:is>
      </x:c>
      <x:c s="17" r="L67" t="inlineStr">
        <x:is>
          <x:t xml:space="preserve">https://huggingface.co/ibm-granite/granite-4.0-1b-GGUF</x:t>
        </x:is>
      </x:c>
      <x:c s="14" r="M67" t="inlineStr">
        <x:is>
          <x:t xml:space="preserve">BF16/FP16</x:t>
        </x:is>
      </x:c>
      <x:c s="15" r="N67" t="n">
        <x:v>6.5</x:v>
      </x:c>
      <x:c s="14" r="O67" t="inlineStr">
        <x:is>
          <x:t xml:space="preserve">BF16/FP16</x:t>
        </x:is>
      </x:c>
      <x:c s="15" r="P67" t="n">
        <x:v>6.5</x:v>
      </x:c>
      <x:c s="14" r="Q67" t="inlineStr">
        <x:is>
          <x:t xml:space="preserve">Comfortable</x:t>
        </x:is>
      </x:c>
      <x:c s="18" r="R67" t="inlineStr">
        <x:is>
          <x:t xml:space="preserve">Current Granite 4.0 micro model; direct quant repo uses 1b naming.</x:t>
        </x:is>
      </x:c>
      <x:c s="14" r="S67" t="inlineStr">
        <x:is>
          <x:t xml:space="preserve">current_family_page_2026-03-27</x:t>
        </x:is>
      </x:c>
      <x:c s="17" r="T67" t="inlineStr">
        <x:is>
          <x:t xml:space="preserve">https://huggingface.co/ibm-granite</x:t>
        </x:is>
      </x:c>
      <x:c s="14" r="U67" t="inlineStr">
        <x:is>
          <x:t xml:space="preserve">Transformers; GGUF</x:t>
        </x:is>
      </x:c>
      <x:c s="15" r="V67" t="n">
        <x:v>6.5</x:v>
      </x:c>
      <x:c s="15" r="W67" t="n">
        <x:v>5.3</x:v>
      </x:c>
      <x:c s="15" r="X67" t="n">
        <x:v>4.9</x:v>
      </x:c>
      <x:c s="15" r="Y67" t="n">
        <x:v>4.8</x:v>
      </x:c>
      <x:c s="15" r="Z67" t="n">
        <x:v>4.6</x:v>
      </x:c>
      <x:c s="15" r="AA67" t="n">
        <x:v>4.5</x:v>
      </x:c>
      <x:c s="15" r="AB67" t="n">
        <x:v>4.3</x:v>
      </x:c>
    </x:row>
    <x:row r="68">
      <x:c r="A68" t="inlineStr">
        <x:is>
          <x:t xml:space="preserve">IBM Granite</x:t>
        </x:is>
      </x:c>
      <x:c s="14" r="B68" t="inlineStr">
        <x:is>
          <x:t xml:space="preserve">ibm-granite/granite-4.0-micro-base</x:t>
        </x:is>
      </x:c>
      <x:c s="14" r="C68" t="inlineStr">
        <x:is>
          <x:t xml:space="preserve">granite-4.0-micro-base</x:t>
        </x:is>
      </x:c>
      <x:c s="15" r="D68" t="n">
        <x:v>1</x:v>
      </x:c>
      <x:c s="15" r="E68"/>
      <x:c s="14" r="F68" t="inlineStr">
        <x:is>
          <x:t xml:space="preserve">general</x:t>
        </x:is>
      </x:c>
      <x:c s="14" r="G68" t="inlineStr">
        <x:is>
          <x:t xml:space="preserve">text</x:t>
        </x:is>
      </x:c>
      <x:c r="H68" t="inlineStr">
        <x:is>
          <x:t xml:space="preserve">base</x:t>
        </x:is>
      </x:c>
      <x:c r="I68" t="inlineStr">
        <x:is>
          <x:t xml:space="preserve">Dense</x:t>
        </x:is>
      </x:c>
      <x:c s="16" r="J68" t="inlineStr">
        <x:is>
          <x:t xml:space="preserve">open</x:t>
        </x:is>
      </x:c>
      <x:c s="17" r="K68" t="inlineStr">
        <x:is>
          <x:t xml:space="preserve">https://huggingface.co/ibm-granite/granite-4.0-micro-base</x:t>
        </x:is>
      </x:c>
      <x:c s="17" r="L68" t="inlineStr">
        <x:is>
          <x:t xml:space="preserve">https://huggingface.co/ibm-granite/granite-4.0-1b-base-GGUF</x:t>
        </x:is>
      </x:c>
      <x:c s="14" r="M68" t="inlineStr">
        <x:is>
          <x:t xml:space="preserve">BF16/FP16</x:t>
        </x:is>
      </x:c>
      <x:c s="15" r="N68" t="n">
        <x:v>6.5</x:v>
      </x:c>
      <x:c s="14" r="O68" t="inlineStr">
        <x:is>
          <x:t xml:space="preserve">BF16/FP16</x:t>
        </x:is>
      </x:c>
      <x:c s="15" r="P68" t="n">
        <x:v>6.5</x:v>
      </x:c>
      <x:c s="14" r="Q68" t="inlineStr">
        <x:is>
          <x:t xml:space="preserve">Comfortable</x:t>
        </x:is>
      </x:c>
      <x:c s="18" r="R68" t="inlineStr">
        <x:is>
          <x:t xml:space="preserve">Current Granite 4.0 micro base model; direct quant repo uses 1b naming.</x:t>
        </x:is>
      </x:c>
      <x:c s="14" r="S68" t="inlineStr">
        <x:is>
          <x:t xml:space="preserve">current_family_page_2026-03-27</x:t>
        </x:is>
      </x:c>
      <x:c s="17" r="T68" t="inlineStr">
        <x:is>
          <x:t xml:space="preserve">https://huggingface.co/ibm-granite</x:t>
        </x:is>
      </x:c>
      <x:c s="14" r="U68" t="inlineStr">
        <x:is>
          <x:t xml:space="preserve">Transformers; GGUF</x:t>
        </x:is>
      </x:c>
      <x:c s="15" r="V68" t="n">
        <x:v>6.5</x:v>
      </x:c>
      <x:c s="15" r="W68" t="n">
        <x:v>5.3</x:v>
      </x:c>
      <x:c s="15" r="X68" t="n">
        <x:v>4.9</x:v>
      </x:c>
      <x:c s="15" r="Y68" t="n">
        <x:v>4.8</x:v>
      </x:c>
      <x:c s="15" r="Z68" t="n">
        <x:v>4.6</x:v>
      </x:c>
      <x:c s="15" r="AA68" t="n">
        <x:v>4.5</x:v>
      </x:c>
      <x:c s="15" r="AB68" t="n">
        <x:v>4.3</x:v>
      </x:c>
    </x:row>
    <x:row r="69">
      <x:c r="A69" t="inlineStr">
        <x:is>
          <x:t xml:space="preserve">Meta / Llama</x:t>
        </x:is>
      </x:c>
      <x:c s="14" r="B69" t="inlineStr">
        <x:is>
          <x:t xml:space="preserve">meta-llama/Llama-4-Scout-17B-16E</x:t>
        </x:is>
      </x:c>
      <x:c s="14" r="C69" t="inlineStr">
        <x:is>
          <x:t xml:space="preserve">Llama 4 Scout 17B-16E</x:t>
        </x:is>
      </x:c>
      <x:c s="15" r="D69" t="n">
        <x:v>109</x:v>
      </x:c>
      <x:c s="15" r="E69" t="n">
        <x:v>17</x:v>
      </x:c>
      <x:c s="14" r="F69" t="inlineStr">
        <x:is>
          <x:t xml:space="preserve">multimodal</x:t>
        </x:is>
      </x:c>
      <x:c s="14" r="G69" t="inlineStr">
        <x:is>
          <x:t xml:space="preserve">text+vision</x:t>
        </x:is>
      </x:c>
      <x:c r="H69" t="inlineStr">
        <x:is>
          <x:t xml:space="preserve">base</x:t>
        </x:is>
      </x:c>
      <x:c r="I69" t="inlineStr">
        <x:is>
          <x:t xml:space="preserve">MoE</x:t>
        </x:is>
      </x:c>
      <x:c s="16" r="J69" t="inlineStr">
        <x:is>
          <x:t xml:space="preserve">gated</x:t>
        </x:is>
      </x:c>
      <x:c s="17" r="K69" t="inlineStr">
        <x:is>
          <x:t xml:space="preserve">https://huggingface.co/meta-llama/Llama-4-Scout-17B-16E</x:t>
        </x:is>
      </x:c>
      <x:c s="17" r="L69" t="inlineStr">
        <x:is>
          <x:t xml:space="preserve"/>
        </x:is>
      </x:c>
      <x:c s="14" r="M69" t="inlineStr">
        <x:is>
          <x:t xml:space="preserve">Q5_K_M/5-bit</x:t>
        </x:is>
      </x:c>
      <x:c s="15" r="N69" t="n">
        <x:v>93.9</x:v>
      </x:c>
      <x:c s="14" r="O69" t="inlineStr">
        <x:is>
          <x:t xml:space="preserve">Q4_K_M/4-bit</x:t>
        </x:is>
      </x:c>
      <x:c s="15" r="P69" t="n">
        <x:v>75.9</x:v>
      </x:c>
      <x:c s="14" r="Q69" t="inlineStr">
        <x:is>
          <x:t xml:space="preserve">Near limit</x:t>
        </x:is>
      </x:c>
      <x:c s="18" r="R69" t="inlineStr">
        <x:is>
          <x:t xml:space="preserve">Llama 4 Scout; 17B active / 109B total.</x:t>
        </x:is>
      </x:c>
      <x:c s="14" r="S69" t="inlineStr">
        <x:is>
          <x:t xml:space="preserve">current_org_page_2026-03-27</x:t>
        </x:is>
      </x:c>
      <x:c s="17" r="T69" t="inlineStr">
        <x:is>
          <x:t xml:space="preserve">https://huggingface.co/meta-llama</x:t>
        </x:is>
      </x:c>
      <x:c s="14" r="U69" t="inlineStr">
        <x:is>
          <x:t xml:space="preserve">Transformers; GGUF; GPTQ/AWQ</x:t>
        </x:is>
      </x:c>
      <x:c s="15" r="V69" t="n">
        <x:v>291.8</x:v>
      </x:c>
      <x:c s="15" r="W69" t="n">
        <x:v>147.9</x:v>
      </x:c>
      <x:c s="15" r="X69" t="n">
        <x:v>111.9</x:v>
      </x:c>
      <x:c s="15" r="Y69" t="n">
        <x:v>93.9</x:v>
      </x:c>
      <x:c s="15" r="Z69" t="n">
        <x:v>75.9</x:v>
      </x:c>
      <x:c s="15" r="AA69" t="n">
        <x:v>58</x:v>
      </x:c>
      <x:c s="15" r="AB69" t="n">
        <x:v>40</x:v>
      </x:c>
    </x:row>
    <x:row r="70">
      <x:c r="A70" t="inlineStr">
        <x:is>
          <x:t xml:space="preserve">Meta / Llama</x:t>
        </x:is>
      </x:c>
      <x:c s="14" r="B70" t="inlineStr">
        <x:is>
          <x:t xml:space="preserve">meta-llama/Llama-4-Scout-17B-16E-Instruct</x:t>
        </x:is>
      </x:c>
      <x:c s="14" r="C70" t="inlineStr">
        <x:is>
          <x:t xml:space="preserve">Llama 4 Scout 17B-16E Instruct</x:t>
        </x:is>
      </x:c>
      <x:c s="15" r="D70" t="n">
        <x:v>109</x:v>
      </x:c>
      <x:c s="15" r="E70" t="n">
        <x:v>17</x:v>
      </x:c>
      <x:c s="14" r="F70" t="inlineStr">
        <x:is>
          <x:t xml:space="preserve">multimodal chat</x:t>
        </x:is>
      </x:c>
      <x:c s="14" r="G70" t="inlineStr">
        <x:is>
          <x:t xml:space="preserve">text+vision</x:t>
        </x:is>
      </x:c>
      <x:c r="H70" t="inlineStr">
        <x:is>
          <x:t xml:space="preserve">instruct</x:t>
        </x:is>
      </x:c>
      <x:c r="I70" t="inlineStr">
        <x:is>
          <x:t xml:space="preserve">MoE</x:t>
        </x:is>
      </x:c>
      <x:c s="16" r="J70" t="inlineStr">
        <x:is>
          <x:t xml:space="preserve">gated</x:t>
        </x:is>
      </x:c>
      <x:c s="17" r="K70" t="inlineStr">
        <x:is>
          <x:t xml:space="preserve">https://huggingface.co/meta-llama/Llama-4-Scout-17B-16E-Instruct</x:t>
        </x:is>
      </x:c>
      <x:c s="17" r="L70" t="inlineStr">
        <x:is>
          <x:t xml:space="preserve"/>
        </x:is>
      </x:c>
      <x:c s="14" r="M70" t="inlineStr">
        <x:is>
          <x:t xml:space="preserve">Q5_K_M/5-bit</x:t>
        </x:is>
      </x:c>
      <x:c s="15" r="N70" t="n">
        <x:v>93.9</x:v>
      </x:c>
      <x:c s="14" r="O70" t="inlineStr">
        <x:is>
          <x:t xml:space="preserve">Q4_K_M/4-bit</x:t>
        </x:is>
      </x:c>
      <x:c s="15" r="P70" t="n">
        <x:v>75.9</x:v>
      </x:c>
      <x:c s="14" r="Q70" t="inlineStr">
        <x:is>
          <x:t xml:space="preserve">Near limit</x:t>
        </x:is>
      </x:c>
      <x:c s="18" r="R70" t="inlineStr">
        <x:is>
          <x:t xml:space="preserve">Llama 4 Scout instruct; 17B active / 109B total.</x:t>
        </x:is>
      </x:c>
      <x:c s="14" r="S70" t="inlineStr">
        <x:is>
          <x:t xml:space="preserve">current_org_page_2026-03-27</x:t>
        </x:is>
      </x:c>
      <x:c s="17" r="T70" t="inlineStr">
        <x:is>
          <x:t xml:space="preserve">https://huggingface.co/meta-llama</x:t>
        </x:is>
      </x:c>
      <x:c s="14" r="U70" t="inlineStr">
        <x:is>
          <x:t xml:space="preserve">Transformers; GGUF; GPTQ/AWQ</x:t>
        </x:is>
      </x:c>
      <x:c s="15" r="V70" t="n">
        <x:v>291.8</x:v>
      </x:c>
      <x:c s="15" r="W70" t="n">
        <x:v>147.9</x:v>
      </x:c>
      <x:c s="15" r="X70" t="n">
        <x:v>111.9</x:v>
      </x:c>
      <x:c s="15" r="Y70" t="n">
        <x:v>93.9</x:v>
      </x:c>
      <x:c s="15" r="Z70" t="n">
        <x:v>75.9</x:v>
      </x:c>
      <x:c s="15" r="AA70" t="n">
        <x:v>58</x:v>
      </x:c>
      <x:c s="15" r="AB70" t="n">
        <x:v>40</x:v>
      </x:c>
    </x:row>
    <x:row r="71">
      <x:c r="A71" t="inlineStr">
        <x:is>
          <x:t xml:space="preserve">Meta / Llama</x:t>
        </x:is>
      </x:c>
      <x:c s="14" r="B71" t="inlineStr">
        <x:is>
          <x:t xml:space="preserve">meta-llama/Llama-3.2-90B-Vision</x:t>
        </x:is>
      </x:c>
      <x:c s="14" r="C71" t="inlineStr">
        <x:is>
          <x:t xml:space="preserve">Llama 3.2 90B Vision</x:t>
        </x:is>
      </x:c>
      <x:c s="15" r="D71" t="n">
        <x:v>90</x:v>
      </x:c>
      <x:c s="15" r="E71"/>
      <x:c s="14" r="F71" t="inlineStr">
        <x:is>
          <x:t xml:space="preserve">multimodal</x:t>
        </x:is>
      </x:c>
      <x:c s="14" r="G71" t="inlineStr">
        <x:is>
          <x:t xml:space="preserve">text+vision</x:t>
        </x:is>
      </x:c>
      <x:c r="H71" t="inlineStr">
        <x:is>
          <x:t xml:space="preserve">base</x:t>
        </x:is>
      </x:c>
      <x:c r="I71" t="inlineStr">
        <x:is>
          <x:t xml:space="preserve">Dense</x:t>
        </x:is>
      </x:c>
      <x:c s="16" r="J71" t="inlineStr">
        <x:is>
          <x:t xml:space="preserve">gated</x:t>
        </x:is>
      </x:c>
      <x:c s="17" r="K71" t="inlineStr">
        <x:is>
          <x:t xml:space="preserve">https://huggingface.co/meta-llama/Llama-3.2-90B-Vision</x:t>
        </x:is>
      </x:c>
      <x:c s="17" r="L71" t="inlineStr">
        <x:is>
          <x:t xml:space="preserve"/>
        </x:is>
      </x:c>
      <x:c s="14" r="M71" t="inlineStr">
        <x:is>
          <x:t xml:space="preserve">Q6_K/6-bit</x:t>
        </x:is>
      </x:c>
      <x:c s="15" r="N71" t="n">
        <x:v>89.4</x:v>
      </x:c>
      <x:c s="14" r="O71" t="inlineStr">
        <x:is>
          <x:t xml:space="preserve">Q6_K/6-bit</x:t>
        </x:is>
      </x:c>
      <x:c s="15" r="P71" t="n">
        <x:v>89.4</x:v>
      </x:c>
      <x:c s="14" r="Q71" t="inlineStr">
        <x:is>
          <x:t xml:space="preserve">Near limit</x:t>
        </x:is>
      </x:c>
      <x:c s="18" r="R71" t="inlineStr">
        <x:is>
          <x:t xml:space="preserve">Vision-capable large model.</x:t>
        </x:is>
      </x:c>
      <x:c s="14" r="S71" t="inlineStr">
        <x:is>
          <x:t xml:space="preserve">current_org_page_2026-03-27</x:t>
        </x:is>
      </x:c>
      <x:c s="17" r="T71" t="inlineStr">
        <x:is>
          <x:t xml:space="preserve">https://huggingface.co/meta-llama</x:t>
        </x:is>
      </x:c>
      <x:c s="14" r="U71" t="inlineStr">
        <x:is>
          <x:t xml:space="preserve">Transformers; GGUF; GPTQ/AWQ</x:t>
        </x:is>
      </x:c>
      <x:c s="15" r="V71" t="n">
        <x:v>231.7</x:v>
      </x:c>
      <x:c s="15" r="W71" t="n">
        <x:v>117.9</x:v>
      </x:c>
      <x:c s="15" r="X71" t="n">
        <x:v>89.4</x:v>
      </x:c>
      <x:c s="15" r="Y71" t="n">
        <x:v>75.2</x:v>
      </x:c>
      <x:c s="15" r="Z71" t="n">
        <x:v>60.9</x:v>
      </x:c>
      <x:c s="15" r="AA71" t="n">
        <x:v>46.7</x:v>
      </x:c>
      <x:c s="15" r="AB71" t="n">
        <x:v>32.5</x:v>
      </x:c>
    </x:row>
    <x:row r="72">
      <x:c r="A72" t="inlineStr">
        <x:is>
          <x:t xml:space="preserve">Meta / Llama</x:t>
        </x:is>
      </x:c>
      <x:c s="14" r="B72" t="inlineStr">
        <x:is>
          <x:t xml:space="preserve">meta-llama/Llama-3.2-90B-Vision-Instruct</x:t>
        </x:is>
      </x:c>
      <x:c s="14" r="C72" t="inlineStr">
        <x:is>
          <x:t xml:space="preserve">Llama 3.2 90B Vision Instruct</x:t>
        </x:is>
      </x:c>
      <x:c s="15" r="D72" t="n">
        <x:v>90</x:v>
      </x:c>
      <x:c s="15" r="E72"/>
      <x:c s="14" r="F72" t="inlineStr">
        <x:is>
          <x:t xml:space="preserve">multimodal chat</x:t>
        </x:is>
      </x:c>
      <x:c s="14" r="G72" t="inlineStr">
        <x:is>
          <x:t xml:space="preserve">text+vision</x:t>
        </x:is>
      </x:c>
      <x:c r="H72" t="inlineStr">
        <x:is>
          <x:t xml:space="preserve">instruct</x:t>
        </x:is>
      </x:c>
      <x:c r="I72" t="inlineStr">
        <x:is>
          <x:t xml:space="preserve">Dense</x:t>
        </x:is>
      </x:c>
      <x:c s="16" r="J72" t="inlineStr">
        <x:is>
          <x:t xml:space="preserve">gated</x:t>
        </x:is>
      </x:c>
      <x:c s="17" r="K72" t="inlineStr">
        <x:is>
          <x:t xml:space="preserve">https://huggingface.co/meta-llama/Llama-3.2-90B-Vision-Instruct</x:t>
        </x:is>
      </x:c>
      <x:c s="17" r="L72" t="inlineStr">
        <x:is>
          <x:t xml:space="preserve"/>
        </x:is>
      </x:c>
      <x:c s="14" r="M72" t="inlineStr">
        <x:is>
          <x:t xml:space="preserve">Q6_K/6-bit</x:t>
        </x:is>
      </x:c>
      <x:c s="15" r="N72" t="n">
        <x:v>89.4</x:v>
      </x:c>
      <x:c s="14" r="O72" t="inlineStr">
        <x:is>
          <x:t xml:space="preserve">Q6_K/6-bit</x:t>
        </x:is>
      </x:c>
      <x:c s="15" r="P72" t="n">
        <x:v>89.4</x:v>
      </x:c>
      <x:c s="14" r="Q72" t="inlineStr">
        <x:is>
          <x:t xml:space="preserve">Near limit</x:t>
        </x:is>
      </x:c>
      <x:c s="18" r="R72" t="inlineStr">
        <x:is>
          <x:t xml:space="preserve">Vision-capable large instruct model.</x:t>
        </x:is>
      </x:c>
      <x:c s="14" r="S72" t="inlineStr">
        <x:is>
          <x:t xml:space="preserve">current_org_page_2026-03-27</x:t>
        </x:is>
      </x:c>
      <x:c s="17" r="T72" t="inlineStr">
        <x:is>
          <x:t xml:space="preserve">https://huggingface.co/meta-llama</x:t>
        </x:is>
      </x:c>
      <x:c s="14" r="U72" t="inlineStr">
        <x:is>
          <x:t xml:space="preserve">Transformers; GGUF; GPTQ/AWQ</x:t>
        </x:is>
      </x:c>
      <x:c s="15" r="V72" t="n">
        <x:v>231.7</x:v>
      </x:c>
      <x:c s="15" r="W72" t="n">
        <x:v>117.9</x:v>
      </x:c>
      <x:c s="15" r="X72" t="n">
        <x:v>89.4</x:v>
      </x:c>
      <x:c s="15" r="Y72" t="n">
        <x:v>75.2</x:v>
      </x:c>
      <x:c s="15" r="Z72" t="n">
        <x:v>60.9</x:v>
      </x:c>
      <x:c s="15" r="AA72" t="n">
        <x:v>46.7</x:v>
      </x:c>
      <x:c s="15" r="AB72" t="n">
        <x:v>32.5</x:v>
      </x:c>
    </x:row>
    <x:row r="73">
      <x:c r="A73" t="inlineStr">
        <x:is>
          <x:t xml:space="preserve">Meta / Llama</x:t>
        </x:is>
      </x:c>
      <x:c s="14" r="B73" t="inlineStr">
        <x:is>
          <x:t xml:space="preserve">meta-llama/CodeLlama-70b-hf</x:t>
        </x:is>
      </x:c>
      <x:c s="14" r="C73" t="inlineStr">
        <x:is>
          <x:t xml:space="preserve">Code Llama 70B Base</x:t>
        </x:is>
      </x:c>
      <x:c s="15" r="D73" t="n">
        <x:v>70</x:v>
      </x:c>
      <x:c s="15" r="E73"/>
      <x:c s="14" r="F73" t="inlineStr">
        <x:is>
          <x:t xml:space="preserve">coding</x:t>
        </x:is>
      </x:c>
      <x:c s="14" r="G73" t="inlineStr">
        <x:is>
          <x:t xml:space="preserve">text</x:t>
        </x:is>
      </x:c>
      <x:c r="H73" t="inlineStr">
        <x:is>
          <x:t xml:space="preserve">base</x:t>
        </x:is>
      </x:c>
      <x:c r="I73" t="inlineStr">
        <x:is>
          <x:t xml:space="preserve">Dense</x:t>
        </x:is>
      </x:c>
      <x:c s="16" r="J73" t="inlineStr">
        <x:is>
          <x:t xml:space="preserve">gated</x:t>
        </x:is>
      </x:c>
      <x:c s="17" r="K73" t="inlineStr">
        <x:is>
          <x:t xml:space="preserve">https://huggingface.co/meta-llama/CodeLlama-70b-hf</x:t>
        </x:is>
      </x:c>
      <x:c s="17" r="L73" t="inlineStr">
        <x:is>
          <x:t xml:space="preserve"/>
        </x:is>
      </x:c>
      <x:c s="14" r="M73" t="inlineStr">
        <x:is>
          <x:t xml:space="preserve">FP8/Q8_0/INT8</x:t>
        </x:is>
      </x:c>
      <x:c s="15" r="N73" t="n">
        <x:v>92.6</x:v>
      </x:c>
      <x:c s="14" r="O73" t="inlineStr">
        <x:is>
          <x:t xml:space="preserve">Q6_K/6-bit</x:t>
        </x:is>
      </x:c>
      <x:c s="15" r="P73" t="n">
        <x:v>70.4</x:v>
      </x:c>
      <x:c s="14" r="Q73" t="inlineStr">
        <x:is>
          <x:t xml:space="preserve">Comfortable</x:t>
        </x:is>
      </x:c>
      <x:c s="18" r="R73" t="inlineStr">
        <x:is>
          <x:t xml:space="preserve">Legacy coding family.</x:t>
        </x:is>
      </x:c>
      <x:c s="14" r="S73" t="inlineStr">
        <x:is>
          <x:t xml:space="preserve">stable_series_pattern</x:t>
        </x:is>
      </x:c>
      <x:c s="17" r="T73" t="inlineStr">
        <x:is>
          <x:t xml:space="preserve">https://huggingface.co/meta-llama</x:t>
        </x:is>
      </x:c>
      <x:c s="14" r="U73" t="inlineStr">
        <x:is>
          <x:t xml:space="preserve">Transformers; GGUF; GPTQ/AWQ</x:t>
        </x:is>
      </x:c>
      <x:c s="15" r="V73" t="n">
        <x:v>181.1</x:v>
      </x:c>
      <x:c s="15" r="W73" t="n">
        <x:v>92.6</x:v>
      </x:c>
      <x:c s="15" r="X73" t="n">
        <x:v>70.4</x:v>
      </x:c>
      <x:c s="15" r="Y73" t="n">
        <x:v>59.3</x:v>
      </x:c>
      <x:c s="15" r="Z73" t="n">
        <x:v>48.3</x:v>
      </x:c>
      <x:c s="15" r="AA73" t="n">
        <x:v>37.2</x:v>
      </x:c>
      <x:c s="15" r="AB73" t="n">
        <x:v>26.1</x:v>
      </x:c>
    </x:row>
    <x:row r="74">
      <x:c r="A74" t="inlineStr">
        <x:is>
          <x:t xml:space="preserve">Meta / Llama</x:t>
        </x:is>
      </x:c>
      <x:c s="14" r="B74" t="inlineStr">
        <x:is>
          <x:t xml:space="preserve">meta-llama/CodeLlama-70b-Instruct-hf</x:t>
        </x:is>
      </x:c>
      <x:c s="14" r="C74" t="inlineStr">
        <x:is>
          <x:t xml:space="preserve">Code Llama 70B Instruct</x:t>
        </x:is>
      </x:c>
      <x:c s="15" r="D74" t="n">
        <x:v>70</x:v>
      </x:c>
      <x:c s="15" r="E74"/>
      <x:c s="14" r="F74" t="inlineStr">
        <x:is>
          <x:t xml:space="preserve">coding chat</x:t>
        </x:is>
      </x:c>
      <x:c s="14" r="G74" t="inlineStr">
        <x:is>
          <x:t xml:space="preserve">text</x:t>
        </x:is>
      </x:c>
      <x:c r="H74" t="inlineStr">
        <x:is>
          <x:t xml:space="preserve">instruct</x:t>
        </x:is>
      </x:c>
      <x:c r="I74" t="inlineStr">
        <x:is>
          <x:t xml:space="preserve">Dense</x:t>
        </x:is>
      </x:c>
      <x:c s="16" r="J74" t="inlineStr">
        <x:is>
          <x:t xml:space="preserve">gated</x:t>
        </x:is>
      </x:c>
      <x:c s="17" r="K74" t="inlineStr">
        <x:is>
          <x:t xml:space="preserve">https://huggingface.co/meta-llama/CodeLlama-70b-Instruct-hf</x:t>
        </x:is>
      </x:c>
      <x:c s="17" r="L74" t="inlineStr">
        <x:is>
          <x:t xml:space="preserve"/>
        </x:is>
      </x:c>
      <x:c s="14" r="M74" t="inlineStr">
        <x:is>
          <x:t xml:space="preserve">FP8/Q8_0/INT8</x:t>
        </x:is>
      </x:c>
      <x:c s="15" r="N74" t="n">
        <x:v>92.6</x:v>
      </x:c>
      <x:c s="14" r="O74" t="inlineStr">
        <x:is>
          <x:t xml:space="preserve">Q6_K/6-bit</x:t>
        </x:is>
      </x:c>
      <x:c s="15" r="P74" t="n">
        <x:v>70.4</x:v>
      </x:c>
      <x:c s="14" r="Q74" t="inlineStr">
        <x:is>
          <x:t xml:space="preserve">Comfortable</x:t>
        </x:is>
      </x:c>
      <x:c s="18" r="R74" t="inlineStr">
        <x:is>
          <x:t xml:space="preserve">Legacy coding family.</x:t>
        </x:is>
      </x:c>
      <x:c s="14" r="S74" t="inlineStr">
        <x:is>
          <x:t xml:space="preserve">stable_series_pattern</x:t>
        </x:is>
      </x:c>
      <x:c s="17" r="T74" t="inlineStr">
        <x:is>
          <x:t xml:space="preserve">https://huggingface.co/meta-llama</x:t>
        </x:is>
      </x:c>
      <x:c s="14" r="U74" t="inlineStr">
        <x:is>
          <x:t xml:space="preserve">Transformers; GGUF; GPTQ/AWQ</x:t>
        </x:is>
      </x:c>
      <x:c s="15" r="V74" t="n">
        <x:v>181.1</x:v>
      </x:c>
      <x:c s="15" r="W74" t="n">
        <x:v>92.6</x:v>
      </x:c>
      <x:c s="15" r="X74" t="n">
        <x:v>70.4</x:v>
      </x:c>
      <x:c s="15" r="Y74" t="n">
        <x:v>59.3</x:v>
      </x:c>
      <x:c s="15" r="Z74" t="n">
        <x:v>48.3</x:v>
      </x:c>
      <x:c s="15" r="AA74" t="n">
        <x:v>37.2</x:v>
      </x:c>
      <x:c s="15" r="AB74" t="n">
        <x:v>26.1</x:v>
      </x:c>
    </x:row>
    <x:row r="75">
      <x:c r="A75" t="inlineStr">
        <x:is>
          <x:t xml:space="preserve">Meta / Llama</x:t>
        </x:is>
      </x:c>
      <x:c s="14" r="B75" t="inlineStr">
        <x:is>
          <x:t xml:space="preserve">meta-llama/CodeLlama-70b-Python-hf</x:t>
        </x:is>
      </x:c>
      <x:c s="14" r="C75" t="inlineStr">
        <x:is>
          <x:t xml:space="preserve">Code Llama 70B Python</x:t>
        </x:is>
      </x:c>
      <x:c s="15" r="D75" t="n">
        <x:v>70</x:v>
      </x:c>
      <x:c s="15" r="E75"/>
      <x:c s="14" r="F75" t="inlineStr">
        <x:is>
          <x:t xml:space="preserve">coding</x:t>
        </x:is>
      </x:c>
      <x:c s="14" r="G75" t="inlineStr">
        <x:is>
          <x:t xml:space="preserve">text</x:t>
        </x:is>
      </x:c>
      <x:c r="H75" t="inlineStr">
        <x:is>
          <x:t xml:space="preserve">python</x:t>
        </x:is>
      </x:c>
      <x:c r="I75" t="inlineStr">
        <x:is>
          <x:t xml:space="preserve">Dense</x:t>
        </x:is>
      </x:c>
      <x:c s="16" r="J75" t="inlineStr">
        <x:is>
          <x:t xml:space="preserve">gated</x:t>
        </x:is>
      </x:c>
      <x:c s="17" r="K75" t="inlineStr">
        <x:is>
          <x:t xml:space="preserve">https://huggingface.co/meta-llama/CodeLlama-70b-Python-hf</x:t>
        </x:is>
      </x:c>
      <x:c s="17" r="L75" t="inlineStr">
        <x:is>
          <x:t xml:space="preserve"/>
        </x:is>
      </x:c>
      <x:c s="14" r="M75" t="inlineStr">
        <x:is>
          <x:t xml:space="preserve">FP8/Q8_0/INT8</x:t>
        </x:is>
      </x:c>
      <x:c s="15" r="N75" t="n">
        <x:v>92.6</x:v>
      </x:c>
      <x:c s="14" r="O75" t="inlineStr">
        <x:is>
          <x:t xml:space="preserve">Q6_K/6-bit</x:t>
        </x:is>
      </x:c>
      <x:c s="15" r="P75" t="n">
        <x:v>70.4</x:v>
      </x:c>
      <x:c s="14" r="Q75" t="inlineStr">
        <x:is>
          <x:t xml:space="preserve">Comfortable</x:t>
        </x:is>
      </x:c>
      <x:c s="18" r="R75" t="inlineStr">
        <x:is>
          <x:t xml:space="preserve">Legacy coding family.</x:t>
        </x:is>
      </x:c>
      <x:c s="14" r="S75" t="inlineStr">
        <x:is>
          <x:t xml:space="preserve">stable_series_pattern</x:t>
        </x:is>
      </x:c>
      <x:c s="17" r="T75" t="inlineStr">
        <x:is>
          <x:t xml:space="preserve">https://huggingface.co/meta-llama</x:t>
        </x:is>
      </x:c>
      <x:c s="14" r="U75" t="inlineStr">
        <x:is>
          <x:t xml:space="preserve">Transformers; GGUF; GPTQ/AWQ</x:t>
        </x:is>
      </x:c>
      <x:c s="15" r="V75" t="n">
        <x:v>181.1</x:v>
      </x:c>
      <x:c s="15" r="W75" t="n">
        <x:v>92.6</x:v>
      </x:c>
      <x:c s="15" r="X75" t="n">
        <x:v>70.4</x:v>
      </x:c>
      <x:c s="15" r="Y75" t="n">
        <x:v>59.3</x:v>
      </x:c>
      <x:c s="15" r="Z75" t="n">
        <x:v>48.3</x:v>
      </x:c>
      <x:c s="15" r="AA75" t="n">
        <x:v>37.2</x:v>
      </x:c>
      <x:c s="15" r="AB75" t="n">
        <x:v>26.1</x:v>
      </x:c>
    </x:row>
    <x:row r="76">
      <x:c r="A76" t="inlineStr">
        <x:is>
          <x:t xml:space="preserve">Meta / Llama</x:t>
        </x:is>
      </x:c>
      <x:c s="14" r="B76" t="inlineStr">
        <x:is>
          <x:t xml:space="preserve">meta-llama/Llama-2-70b-hf</x:t>
        </x:is>
      </x:c>
      <x:c s="14" r="C76" t="inlineStr">
        <x:is>
          <x:t xml:space="preserve">Llama 2 70B</x:t>
        </x:is>
      </x:c>
      <x:c s="15" r="D76" t="n">
        <x:v>70</x:v>
      </x:c>
      <x:c s="15" r="E76"/>
      <x:c s="14" r="F76" t="inlineStr">
        <x:is>
          <x:t xml:space="preserve">general</x:t>
        </x:is>
      </x:c>
      <x:c s="14" r="G76" t="inlineStr">
        <x:is>
          <x:t xml:space="preserve">text</x:t>
        </x:is>
      </x:c>
      <x:c r="H76" t="inlineStr">
        <x:is>
          <x:t xml:space="preserve">base</x:t>
        </x:is>
      </x:c>
      <x:c r="I76" t="inlineStr">
        <x:is>
          <x:t xml:space="preserve">Dense</x:t>
        </x:is>
      </x:c>
      <x:c s="16" r="J76" t="inlineStr">
        <x:is>
          <x:t xml:space="preserve">gated</x:t>
        </x:is>
      </x:c>
      <x:c s="17" r="K76" t="inlineStr">
        <x:is>
          <x:t xml:space="preserve">https://huggingface.co/meta-llama/Llama-2-70b-hf</x:t>
        </x:is>
      </x:c>
      <x:c s="17" r="L76" t="inlineStr">
        <x:is>
          <x:t xml:space="preserve"/>
        </x:is>
      </x:c>
      <x:c s="14" r="M76" t="inlineStr">
        <x:is>
          <x:t xml:space="preserve">FP8/Q8_0/INT8</x:t>
        </x:is>
      </x:c>
      <x:c s="15" r="N76" t="n">
        <x:v>92.6</x:v>
      </x:c>
      <x:c s="14" r="O76" t="inlineStr">
        <x:is>
          <x:t xml:space="preserve">Q6_K/6-bit</x:t>
        </x:is>
      </x:c>
      <x:c s="15" r="P76" t="n">
        <x:v>70.4</x:v>
      </x:c>
      <x:c s="14" r="Q76" t="inlineStr">
        <x:is>
          <x:t xml:space="preserve">Comfortable</x:t>
        </x:is>
      </x:c>
      <x:c s="18" r="R76" t="inlineStr">
        <x:is>
          <x:t xml:space="preserve">Legacy but still widely supported.</x:t>
        </x:is>
      </x:c>
      <x:c s="14" r="S76" t="inlineStr">
        <x:is>
          <x:t xml:space="preserve">stable_series_pattern</x:t>
        </x:is>
      </x:c>
      <x:c s="17" r="T76" t="inlineStr">
        <x:is>
          <x:t xml:space="preserve">https://huggingface.co/meta-llama</x:t>
        </x:is>
      </x:c>
      <x:c s="14" r="U76" t="inlineStr">
        <x:is>
          <x:t xml:space="preserve">Transformers; GGUF; GPTQ/AWQ</x:t>
        </x:is>
      </x:c>
      <x:c s="15" r="V76" t="n">
        <x:v>181.1</x:v>
      </x:c>
      <x:c s="15" r="W76" t="n">
        <x:v>92.6</x:v>
      </x:c>
      <x:c s="15" r="X76" t="n">
        <x:v>70.4</x:v>
      </x:c>
      <x:c s="15" r="Y76" t="n">
        <x:v>59.3</x:v>
      </x:c>
      <x:c s="15" r="Z76" t="n">
        <x:v>48.3</x:v>
      </x:c>
      <x:c s="15" r="AA76" t="n">
        <x:v>37.2</x:v>
      </x:c>
      <x:c s="15" r="AB76" t="n">
        <x:v>26.1</x:v>
      </x:c>
    </x:row>
    <x:row r="77">
      <x:c r="A77" t="inlineStr">
        <x:is>
          <x:t xml:space="preserve">Meta / Llama</x:t>
        </x:is>
      </x:c>
      <x:c s="14" r="B77" t="inlineStr">
        <x:is>
          <x:t xml:space="preserve">meta-llama/Llama-2-70b-chat-hf</x:t>
        </x:is>
      </x:c>
      <x:c s="14" r="C77" t="inlineStr">
        <x:is>
          <x:t xml:space="preserve">Llama 2 70B Chat</x:t>
        </x:is>
      </x:c>
      <x:c s="15" r="D77" t="n">
        <x:v>70</x:v>
      </x:c>
      <x:c s="15" r="E77"/>
      <x:c s="14" r="F77" t="inlineStr">
        <x:is>
          <x:t xml:space="preserve">general chat</x:t>
        </x:is>
      </x:c>
      <x:c s="14" r="G77" t="inlineStr">
        <x:is>
          <x:t xml:space="preserve">text</x:t>
        </x:is>
      </x:c>
      <x:c r="H77" t="inlineStr">
        <x:is>
          <x:t xml:space="preserve">chat</x:t>
        </x:is>
      </x:c>
      <x:c r="I77" t="inlineStr">
        <x:is>
          <x:t xml:space="preserve">Dense</x:t>
        </x:is>
      </x:c>
      <x:c s="16" r="J77" t="inlineStr">
        <x:is>
          <x:t xml:space="preserve">gated</x:t>
        </x:is>
      </x:c>
      <x:c s="17" r="K77" t="inlineStr">
        <x:is>
          <x:t xml:space="preserve">https://huggingface.co/meta-llama/Llama-2-70b-chat-hf</x:t>
        </x:is>
      </x:c>
      <x:c s="17" r="L77" t="inlineStr">
        <x:is>
          <x:t xml:space="preserve"/>
        </x:is>
      </x:c>
      <x:c s="14" r="M77" t="inlineStr">
        <x:is>
          <x:t xml:space="preserve">FP8/Q8_0/INT8</x:t>
        </x:is>
      </x:c>
      <x:c s="15" r="N77" t="n">
        <x:v>92.6</x:v>
      </x:c>
      <x:c s="14" r="O77" t="inlineStr">
        <x:is>
          <x:t xml:space="preserve">Q6_K/6-bit</x:t>
        </x:is>
      </x:c>
      <x:c s="15" r="P77" t="n">
        <x:v>70.4</x:v>
      </x:c>
      <x:c s="14" r="Q77" t="inlineStr">
        <x:is>
          <x:t xml:space="preserve">Comfortable</x:t>
        </x:is>
      </x:c>
      <x:c s="18" r="R77" t="inlineStr">
        <x:is>
          <x:t xml:space="preserve">Legacy chat checkpoint.</x:t>
        </x:is>
      </x:c>
      <x:c s="14" r="S77" t="inlineStr">
        <x:is>
          <x:t xml:space="preserve">stable_series_pattern</x:t>
        </x:is>
      </x:c>
      <x:c s="17" r="T77" t="inlineStr">
        <x:is>
          <x:t xml:space="preserve">https://huggingface.co/meta-llama</x:t>
        </x:is>
      </x:c>
      <x:c s="14" r="U77" t="inlineStr">
        <x:is>
          <x:t xml:space="preserve">Transformers; GGUF; GPTQ/AWQ</x:t>
        </x:is>
      </x:c>
      <x:c s="15" r="V77" t="n">
        <x:v>181.1</x:v>
      </x:c>
      <x:c s="15" r="W77" t="n">
        <x:v>92.6</x:v>
      </x:c>
      <x:c s="15" r="X77" t="n">
        <x:v>70.4</x:v>
      </x:c>
      <x:c s="15" r="Y77" t="n">
        <x:v>59.3</x:v>
      </x:c>
      <x:c s="15" r="Z77" t="n">
        <x:v>48.3</x:v>
      </x:c>
      <x:c s="15" r="AA77" t="n">
        <x:v>37.2</x:v>
      </x:c>
      <x:c s="15" r="AB77" t="n">
        <x:v>26.1</x:v>
      </x:c>
    </x:row>
    <x:row r="78">
      <x:c r="A78" t="inlineStr">
        <x:is>
          <x:t xml:space="preserve">Meta / Llama</x:t>
        </x:is>
      </x:c>
      <x:c s="14" r="B78" t="inlineStr">
        <x:is>
          <x:t xml:space="preserve">meta-llama/Llama-3.1-70B</x:t>
        </x:is>
      </x:c>
      <x:c s="14" r="C78" t="inlineStr">
        <x:is>
          <x:t xml:space="preserve">Llama 3.1 70B</x:t>
        </x:is>
      </x:c>
      <x:c s="15" r="D78" t="n">
        <x:v>70</x:v>
      </x:c>
      <x:c s="15" r="E78"/>
      <x:c s="14" r="F78" t="inlineStr">
        <x:is>
          <x:t xml:space="preserve">general</x:t>
        </x:is>
      </x:c>
      <x:c s="14" r="G78" t="inlineStr">
        <x:is>
          <x:t xml:space="preserve">text</x:t>
        </x:is>
      </x:c>
      <x:c r="H78" t="inlineStr">
        <x:is>
          <x:t xml:space="preserve">base</x:t>
        </x:is>
      </x:c>
      <x:c r="I78" t="inlineStr">
        <x:is>
          <x:t xml:space="preserve">Dense</x:t>
        </x:is>
      </x:c>
      <x:c s="16" r="J78" t="inlineStr">
        <x:is>
          <x:t xml:space="preserve">gated</x:t>
        </x:is>
      </x:c>
      <x:c s="17" r="K78" t="inlineStr">
        <x:is>
          <x:t xml:space="preserve">https://huggingface.co/meta-llama/Llama-3.1-70B</x:t>
        </x:is>
      </x:c>
      <x:c s="17" r="L78" t="inlineStr">
        <x:is>
          <x:t xml:space="preserve"/>
        </x:is>
      </x:c>
      <x:c s="14" r="M78" t="inlineStr">
        <x:is>
          <x:t xml:space="preserve">FP8/Q8_0/INT8</x:t>
        </x:is>
      </x:c>
      <x:c s="15" r="N78" t="n">
        <x:v>92.6</x:v>
      </x:c>
      <x:c s="14" r="O78" t="inlineStr">
        <x:is>
          <x:t xml:space="preserve">Q6_K/6-bit</x:t>
        </x:is>
      </x:c>
      <x:c s="15" r="P78" t="n">
        <x:v>70.4</x:v>
      </x:c>
      <x:c s="14" r="Q78" t="inlineStr">
        <x:is>
          <x:t xml:space="preserve">Comfortable</x:t>
        </x:is>
      </x:c>
      <x:c s="18" r="R78" t="inlineStr">
        <x:is>
          <x:t xml:space="preserve"/>
        </x:is>
      </x:c>
      <x:c s="14" r="S78" t="inlineStr">
        <x:is>
          <x:t xml:space="preserve">current_org_page_2026-03-27</x:t>
        </x:is>
      </x:c>
      <x:c s="17" r="T78" t="inlineStr">
        <x:is>
          <x:t xml:space="preserve">https://huggingface.co/meta-llama</x:t>
        </x:is>
      </x:c>
      <x:c s="14" r="U78" t="inlineStr">
        <x:is>
          <x:t xml:space="preserve">Transformers; GGUF; GPTQ/AWQ</x:t>
        </x:is>
      </x:c>
      <x:c s="15" r="V78" t="n">
        <x:v>181.1</x:v>
      </x:c>
      <x:c s="15" r="W78" t="n">
        <x:v>92.6</x:v>
      </x:c>
      <x:c s="15" r="X78" t="n">
        <x:v>70.4</x:v>
      </x:c>
      <x:c s="15" r="Y78" t="n">
        <x:v>59.3</x:v>
      </x:c>
      <x:c s="15" r="Z78" t="n">
        <x:v>48.3</x:v>
      </x:c>
      <x:c s="15" r="AA78" t="n">
        <x:v>37.2</x:v>
      </x:c>
      <x:c s="15" r="AB78" t="n">
        <x:v>26.1</x:v>
      </x:c>
    </x:row>
    <x:row r="79">
      <x:c r="A79" t="inlineStr">
        <x:is>
          <x:t xml:space="preserve">Meta / Llama</x:t>
        </x:is>
      </x:c>
      <x:c s="14" r="B79" t="inlineStr">
        <x:is>
          <x:t xml:space="preserve">meta-llama/Llama-3.1-70B-Instruct</x:t>
        </x:is>
      </x:c>
      <x:c s="14" r="C79" t="inlineStr">
        <x:is>
          <x:t xml:space="preserve">Llama 3.1 70B Instruct</x:t>
        </x:is>
      </x:c>
      <x:c s="15" r="D79" t="n">
        <x:v>70</x:v>
      </x:c>
      <x:c s="15" r="E79"/>
      <x:c s="14" r="F79" t="inlineStr">
        <x:is>
          <x:t xml:space="preserve">general chat</x:t>
        </x:is>
      </x:c>
      <x:c s="14" r="G79" t="inlineStr">
        <x:is>
          <x:t xml:space="preserve">text</x:t>
        </x:is>
      </x:c>
      <x:c r="H79" t="inlineStr">
        <x:is>
          <x:t xml:space="preserve">instruct</x:t>
        </x:is>
      </x:c>
      <x:c r="I79" t="inlineStr">
        <x:is>
          <x:t xml:space="preserve">Dense</x:t>
        </x:is>
      </x:c>
      <x:c s="16" r="J79" t="inlineStr">
        <x:is>
          <x:t xml:space="preserve">gated</x:t>
        </x:is>
      </x:c>
      <x:c s="17" r="K79" t="inlineStr">
        <x:is>
          <x:t xml:space="preserve">https://huggingface.co/meta-llama/Llama-3.1-70B-Instruct</x:t>
        </x:is>
      </x:c>
      <x:c s="17" r="L79" t="inlineStr">
        <x:is>
          <x:t xml:space="preserve"/>
        </x:is>
      </x:c>
      <x:c s="14" r="M79" t="inlineStr">
        <x:is>
          <x:t xml:space="preserve">FP8/Q8_0/INT8</x:t>
        </x:is>
      </x:c>
      <x:c s="15" r="N79" t="n">
        <x:v>92.6</x:v>
      </x:c>
      <x:c s="14" r="O79" t="inlineStr">
        <x:is>
          <x:t xml:space="preserve">Q6_K/6-bit</x:t>
        </x:is>
      </x:c>
      <x:c s="15" r="P79" t="n">
        <x:v>70.4</x:v>
      </x:c>
      <x:c s="14" r="Q79" t="inlineStr">
        <x:is>
          <x:t xml:space="preserve">Comfortable</x:t>
        </x:is>
      </x:c>
      <x:c s="18" r="R79" t="inlineStr">
        <x:is>
          <x:t xml:space="preserve"/>
        </x:is>
      </x:c>
      <x:c s="14" r="S79" t="inlineStr">
        <x:is>
          <x:t xml:space="preserve">current_org_page_2026-03-27</x:t>
        </x:is>
      </x:c>
      <x:c s="17" r="T79" t="inlineStr">
        <x:is>
          <x:t xml:space="preserve">https://huggingface.co/meta-llama</x:t>
        </x:is>
      </x:c>
      <x:c s="14" r="U79" t="inlineStr">
        <x:is>
          <x:t xml:space="preserve">Transformers; GGUF; GPTQ/AWQ</x:t>
        </x:is>
      </x:c>
      <x:c s="15" r="V79" t="n">
        <x:v>181.1</x:v>
      </x:c>
      <x:c s="15" r="W79" t="n">
        <x:v>92.6</x:v>
      </x:c>
      <x:c s="15" r="X79" t="n">
        <x:v>70.4</x:v>
      </x:c>
      <x:c s="15" r="Y79" t="n">
        <x:v>59.3</x:v>
      </x:c>
      <x:c s="15" r="Z79" t="n">
        <x:v>48.3</x:v>
      </x:c>
      <x:c s="15" r="AA79" t="n">
        <x:v>37.2</x:v>
      </x:c>
      <x:c s="15" r="AB79" t="n">
        <x:v>26.1</x:v>
      </x:c>
    </x:row>
    <x:row r="80">
      <x:c r="A80" t="inlineStr">
        <x:is>
          <x:t xml:space="preserve">Meta / Llama</x:t>
        </x:is>
      </x:c>
      <x:c s="14" r="B80" t="inlineStr">
        <x:is>
          <x:t xml:space="preserve">meta-llama/Llama-3.3-70B-Instruct</x:t>
        </x:is>
      </x:c>
      <x:c s="14" r="C80" t="inlineStr">
        <x:is>
          <x:t xml:space="preserve">Llama 3.3 70B Instruct</x:t>
        </x:is>
      </x:c>
      <x:c s="15" r="D80" t="n">
        <x:v>70</x:v>
      </x:c>
      <x:c s="15" r="E80"/>
      <x:c s="14" r="F80" t="inlineStr">
        <x:is>
          <x:t xml:space="preserve">general chat</x:t>
        </x:is>
      </x:c>
      <x:c s="14" r="G80" t="inlineStr">
        <x:is>
          <x:t xml:space="preserve">text</x:t>
        </x:is>
      </x:c>
      <x:c r="H80" t="inlineStr">
        <x:is>
          <x:t xml:space="preserve">instruct</x:t>
        </x:is>
      </x:c>
      <x:c r="I80" t="inlineStr">
        <x:is>
          <x:t xml:space="preserve">Dense</x:t>
        </x:is>
      </x:c>
      <x:c s="16" r="J80" t="inlineStr">
        <x:is>
          <x:t xml:space="preserve">gated</x:t>
        </x:is>
      </x:c>
      <x:c s="17" r="K80" t="inlineStr">
        <x:is>
          <x:t xml:space="preserve">https://huggingface.co/meta-llama/Llama-3.3-70B-Instruct</x:t>
        </x:is>
      </x:c>
      <x:c s="17" r="L80" t="inlineStr">
        <x:is>
          <x:t xml:space="preserve"/>
        </x:is>
      </x:c>
      <x:c s="14" r="M80" t="inlineStr">
        <x:is>
          <x:t xml:space="preserve">FP8/Q8_0/INT8</x:t>
        </x:is>
      </x:c>
      <x:c s="15" r="N80" t="n">
        <x:v>92.6</x:v>
      </x:c>
      <x:c s="14" r="O80" t="inlineStr">
        <x:is>
          <x:t xml:space="preserve">Q6_K/6-bit</x:t>
        </x:is>
      </x:c>
      <x:c s="15" r="P80" t="n">
        <x:v>70.4</x:v>
      </x:c>
      <x:c s="14" r="Q80" t="inlineStr">
        <x:is>
          <x:t xml:space="preserve">Comfortable</x:t>
        </x:is>
      </x:c>
      <x:c s="18" r="R80" t="inlineStr">
        <x:is>
          <x:t xml:space="preserve"/>
        </x:is>
      </x:c>
      <x:c s="14" r="S80" t="inlineStr">
        <x:is>
          <x:t xml:space="preserve">current_org_page_2026-03-27</x:t>
        </x:is>
      </x:c>
      <x:c s="17" r="T80" t="inlineStr">
        <x:is>
          <x:t xml:space="preserve">https://huggingface.co/meta-llama</x:t>
        </x:is>
      </x:c>
      <x:c s="14" r="U80" t="inlineStr">
        <x:is>
          <x:t xml:space="preserve">Transformers; GGUF; GPTQ/AWQ</x:t>
        </x:is>
      </x:c>
      <x:c s="15" r="V80" t="n">
        <x:v>181.1</x:v>
      </x:c>
      <x:c s="15" r="W80" t="n">
        <x:v>92.6</x:v>
      </x:c>
      <x:c s="15" r="X80" t="n">
        <x:v>70.4</x:v>
      </x:c>
      <x:c s="15" r="Y80" t="n">
        <x:v>59.3</x:v>
      </x:c>
      <x:c s="15" r="Z80" t="n">
        <x:v>48.3</x:v>
      </x:c>
      <x:c s="15" r="AA80" t="n">
        <x:v>37.2</x:v>
      </x:c>
      <x:c s="15" r="AB80" t="n">
        <x:v>26.1</x:v>
      </x:c>
    </x:row>
    <x:row r="81">
      <x:c r="A81" t="inlineStr">
        <x:is>
          <x:t xml:space="preserve">Meta / Llama</x:t>
        </x:is>
      </x:c>
      <x:c s="14" r="B81" t="inlineStr">
        <x:is>
          <x:t xml:space="preserve">meta-llama/Meta-Llama-3-70B</x:t>
        </x:is>
      </x:c>
      <x:c s="14" r="C81" t="inlineStr">
        <x:is>
          <x:t xml:space="preserve">Meta Llama 3 70B</x:t>
        </x:is>
      </x:c>
      <x:c s="15" r="D81" t="n">
        <x:v>70</x:v>
      </x:c>
      <x:c s="15" r="E81"/>
      <x:c s="14" r="F81" t="inlineStr">
        <x:is>
          <x:t xml:space="preserve">general</x:t>
        </x:is>
      </x:c>
      <x:c s="14" r="G81" t="inlineStr">
        <x:is>
          <x:t xml:space="preserve">text</x:t>
        </x:is>
      </x:c>
      <x:c r="H81" t="inlineStr">
        <x:is>
          <x:t xml:space="preserve">base</x:t>
        </x:is>
      </x:c>
      <x:c r="I81" t="inlineStr">
        <x:is>
          <x:t xml:space="preserve">Dense</x:t>
        </x:is>
      </x:c>
      <x:c s="16" r="J81" t="inlineStr">
        <x:is>
          <x:t xml:space="preserve">gated</x:t>
        </x:is>
      </x:c>
      <x:c s="17" r="K81" t="inlineStr">
        <x:is>
          <x:t xml:space="preserve">https://huggingface.co/meta-llama/Meta-Llama-3-70B</x:t>
        </x:is>
      </x:c>
      <x:c s="17" r="L81" t="inlineStr">
        <x:is>
          <x:t xml:space="preserve"/>
        </x:is>
      </x:c>
      <x:c s="14" r="M81" t="inlineStr">
        <x:is>
          <x:t xml:space="preserve">FP8/Q8_0/INT8</x:t>
        </x:is>
      </x:c>
      <x:c s="15" r="N81" t="n">
        <x:v>92.6</x:v>
      </x:c>
      <x:c s="14" r="O81" t="inlineStr">
        <x:is>
          <x:t xml:space="preserve">Q6_K/6-bit</x:t>
        </x:is>
      </x:c>
      <x:c s="15" r="P81" t="n">
        <x:v>70.4</x:v>
      </x:c>
      <x:c s="14" r="Q81" t="inlineStr">
        <x:is>
          <x:t xml:space="preserve">Comfortable</x:t>
        </x:is>
      </x:c>
      <x:c s="18" r="R81" t="inlineStr">
        <x:is>
          <x:t xml:space="preserve"/>
        </x:is>
      </x:c>
      <x:c s="14" r="S81" t="inlineStr">
        <x:is>
          <x:t xml:space="preserve">current_org_page_2026-03-27</x:t>
        </x:is>
      </x:c>
      <x:c s="17" r="T81" t="inlineStr">
        <x:is>
          <x:t xml:space="preserve">https://huggingface.co/meta-llama</x:t>
        </x:is>
      </x:c>
      <x:c s="14" r="U81" t="inlineStr">
        <x:is>
          <x:t xml:space="preserve">Transformers; GGUF; GPTQ/AWQ</x:t>
        </x:is>
      </x:c>
      <x:c s="15" r="V81" t="n">
        <x:v>181.1</x:v>
      </x:c>
      <x:c s="15" r="W81" t="n">
        <x:v>92.6</x:v>
      </x:c>
      <x:c s="15" r="X81" t="n">
        <x:v>70.4</x:v>
      </x:c>
      <x:c s="15" r="Y81" t="n">
        <x:v>59.3</x:v>
      </x:c>
      <x:c s="15" r="Z81" t="n">
        <x:v>48.3</x:v>
      </x:c>
      <x:c s="15" r="AA81" t="n">
        <x:v>37.2</x:v>
      </x:c>
      <x:c s="15" r="AB81" t="n">
        <x:v>26.1</x:v>
      </x:c>
    </x:row>
    <x:row r="82">
      <x:c r="A82" t="inlineStr">
        <x:is>
          <x:t xml:space="preserve">Meta / Llama</x:t>
        </x:is>
      </x:c>
      <x:c s="14" r="B82" t="inlineStr">
        <x:is>
          <x:t xml:space="preserve">meta-llama/Meta-Llama-3-70B-Instruct</x:t>
        </x:is>
      </x:c>
      <x:c s="14" r="C82" t="inlineStr">
        <x:is>
          <x:t xml:space="preserve">Meta Llama 3 70B Instruct</x:t>
        </x:is>
      </x:c>
      <x:c s="15" r="D82" t="n">
        <x:v>70</x:v>
      </x:c>
      <x:c s="15" r="E82"/>
      <x:c s="14" r="F82" t="inlineStr">
        <x:is>
          <x:t xml:space="preserve">general chat</x:t>
        </x:is>
      </x:c>
      <x:c s="14" r="G82" t="inlineStr">
        <x:is>
          <x:t xml:space="preserve">text</x:t>
        </x:is>
      </x:c>
      <x:c r="H82" t="inlineStr">
        <x:is>
          <x:t xml:space="preserve">instruct</x:t>
        </x:is>
      </x:c>
      <x:c r="I82" t="inlineStr">
        <x:is>
          <x:t xml:space="preserve">Dense</x:t>
        </x:is>
      </x:c>
      <x:c s="16" r="J82" t="inlineStr">
        <x:is>
          <x:t xml:space="preserve">gated</x:t>
        </x:is>
      </x:c>
      <x:c s="17" r="K82" t="inlineStr">
        <x:is>
          <x:t xml:space="preserve">https://huggingface.co/meta-llama/Meta-Llama-3-70B-Instruct</x:t>
        </x:is>
      </x:c>
      <x:c s="17" r="L82" t="inlineStr">
        <x:is>
          <x:t xml:space="preserve"/>
        </x:is>
      </x:c>
      <x:c s="14" r="M82" t="inlineStr">
        <x:is>
          <x:t xml:space="preserve">FP8/Q8_0/INT8</x:t>
        </x:is>
      </x:c>
      <x:c s="15" r="N82" t="n">
        <x:v>92.6</x:v>
      </x:c>
      <x:c s="14" r="O82" t="inlineStr">
        <x:is>
          <x:t xml:space="preserve">Q6_K/6-bit</x:t>
        </x:is>
      </x:c>
      <x:c s="15" r="P82" t="n">
        <x:v>70.4</x:v>
      </x:c>
      <x:c s="14" r="Q82" t="inlineStr">
        <x:is>
          <x:t xml:space="preserve">Comfortable</x:t>
        </x:is>
      </x:c>
      <x:c s="18" r="R82" t="inlineStr">
        <x:is>
          <x:t xml:space="preserve"/>
        </x:is>
      </x:c>
      <x:c s="14" r="S82" t="inlineStr">
        <x:is>
          <x:t xml:space="preserve">current_org_page_2026-03-27</x:t>
        </x:is>
      </x:c>
      <x:c s="17" r="T82" t="inlineStr">
        <x:is>
          <x:t xml:space="preserve">https://huggingface.co/meta-llama</x:t>
        </x:is>
      </x:c>
      <x:c s="14" r="U82" t="inlineStr">
        <x:is>
          <x:t xml:space="preserve">Transformers; GGUF; GPTQ/AWQ</x:t>
        </x:is>
      </x:c>
      <x:c s="15" r="V82" t="n">
        <x:v>181.1</x:v>
      </x:c>
      <x:c s="15" r="W82" t="n">
        <x:v>92.6</x:v>
      </x:c>
      <x:c s="15" r="X82" t="n">
        <x:v>70.4</x:v>
      </x:c>
      <x:c s="15" r="Y82" t="n">
        <x:v>59.3</x:v>
      </x:c>
      <x:c s="15" r="Z82" t="n">
        <x:v>48.3</x:v>
      </x:c>
      <x:c s="15" r="AA82" t="n">
        <x:v>37.2</x:v>
      </x:c>
      <x:c s="15" r="AB82" t="n">
        <x:v>26.1</x:v>
      </x:c>
    </x:row>
    <x:row r="83">
      <x:c r="A83" t="inlineStr">
        <x:is>
          <x:t xml:space="preserve">Meta / Llama</x:t>
        </x:is>
      </x:c>
      <x:c s="14" r="B83" t="inlineStr">
        <x:is>
          <x:t xml:space="preserve">meta-llama/CodeLlama-34b-hf</x:t>
        </x:is>
      </x:c>
      <x:c s="14" r="C83" t="inlineStr">
        <x:is>
          <x:t xml:space="preserve">Code Llama 34B Base</x:t>
        </x:is>
      </x:c>
      <x:c s="15" r="D83" t="n">
        <x:v>34</x:v>
      </x:c>
      <x:c s="15" r="E83"/>
      <x:c s="14" r="F83" t="inlineStr">
        <x:is>
          <x:t xml:space="preserve">coding</x:t>
        </x:is>
      </x:c>
      <x:c s="14" r="G83" t="inlineStr">
        <x:is>
          <x:t xml:space="preserve">text</x:t>
        </x:is>
      </x:c>
      <x:c r="H83" t="inlineStr">
        <x:is>
          <x:t xml:space="preserve">base</x:t>
        </x:is>
      </x:c>
      <x:c r="I83" t="inlineStr">
        <x:is>
          <x:t xml:space="preserve">Dense</x:t>
        </x:is>
      </x:c>
      <x:c s="16" r="J83" t="inlineStr">
        <x:is>
          <x:t xml:space="preserve">gated</x:t>
        </x:is>
      </x:c>
      <x:c s="17" r="K83" t="inlineStr">
        <x:is>
          <x:t xml:space="preserve">https://huggingface.co/meta-llama/CodeLlama-34b-hf</x:t>
        </x:is>
      </x:c>
      <x:c s="17" r="L83" t="inlineStr">
        <x:is>
          <x:t xml:space="preserve"/>
        </x:is>
      </x:c>
      <x:c s="14" r="M83" t="inlineStr">
        <x:is>
          <x:t xml:space="preserve">BF16/FP16</x:t>
        </x:is>
      </x:c>
      <x:c s="15" r="N83" t="n">
        <x:v>90</x:v>
      </x:c>
      <x:c s="14" r="O83" t="inlineStr">
        <x:is>
          <x:t xml:space="preserve">BF16/FP16</x:t>
        </x:is>
      </x:c>
      <x:c s="15" r="P83" t="n">
        <x:v>90</x:v>
      </x:c>
      <x:c s="14" r="Q83" t="inlineStr">
        <x:is>
          <x:t xml:space="preserve">Near limit</x:t>
        </x:is>
      </x:c>
      <x:c s="18" r="R83" t="inlineStr">
        <x:is>
          <x:t xml:space="preserve">Legacy coding family.</x:t>
        </x:is>
      </x:c>
      <x:c s="14" r="S83" t="inlineStr">
        <x:is>
          <x:t xml:space="preserve">stable_series_pattern</x:t>
        </x:is>
      </x:c>
      <x:c s="17" r="T83" t="inlineStr">
        <x:is>
          <x:t xml:space="preserve">https://huggingface.co/meta-llama</x:t>
        </x:is>
      </x:c>
      <x:c s="14" r="U83" t="inlineStr">
        <x:is>
          <x:t xml:space="preserve">Transformers; GGUF; GPTQ/AWQ</x:t>
        </x:is>
      </x:c>
      <x:c s="15" r="V83" t="n">
        <x:v>90</x:v>
      </x:c>
      <x:c s="15" r="W83" t="n">
        <x:v>47</x:v>
      </x:c>
      <x:c s="15" r="X83" t="n">
        <x:v>36.3</x:v>
      </x:c>
      <x:c s="15" r="Y83" t="n">
        <x:v>30.9</x:v>
      </x:c>
      <x:c s="15" r="Z83" t="n">
        <x:v>25.5</x:v>
      </x:c>
      <x:c s="15" r="AA83" t="n">
        <x:v>20.1</x:v>
      </x:c>
      <x:c s="15" r="AB83" t="n">
        <x:v>14.8</x:v>
      </x:c>
    </x:row>
    <x:row r="84">
      <x:c r="A84" t="inlineStr">
        <x:is>
          <x:t xml:space="preserve">Meta / Llama</x:t>
        </x:is>
      </x:c>
      <x:c s="14" r="B84" t="inlineStr">
        <x:is>
          <x:t xml:space="preserve">meta-llama/CodeLlama-34b-Instruct-hf</x:t>
        </x:is>
      </x:c>
      <x:c s="14" r="C84" t="inlineStr">
        <x:is>
          <x:t xml:space="preserve">Code Llama 34B Instruct</x:t>
        </x:is>
      </x:c>
      <x:c s="15" r="D84" t="n">
        <x:v>34</x:v>
      </x:c>
      <x:c s="15" r="E84"/>
      <x:c s="14" r="F84" t="inlineStr">
        <x:is>
          <x:t xml:space="preserve">coding chat</x:t>
        </x:is>
      </x:c>
      <x:c s="14" r="G84" t="inlineStr">
        <x:is>
          <x:t xml:space="preserve">text</x:t>
        </x:is>
      </x:c>
      <x:c r="H84" t="inlineStr">
        <x:is>
          <x:t xml:space="preserve">instruct</x:t>
        </x:is>
      </x:c>
      <x:c r="I84" t="inlineStr">
        <x:is>
          <x:t xml:space="preserve">Dense</x:t>
        </x:is>
      </x:c>
      <x:c s="16" r="J84" t="inlineStr">
        <x:is>
          <x:t xml:space="preserve">gated</x:t>
        </x:is>
      </x:c>
      <x:c s="17" r="K84" t="inlineStr">
        <x:is>
          <x:t xml:space="preserve">https://huggingface.co/meta-llama/CodeLlama-34b-Instruct-hf</x:t>
        </x:is>
      </x:c>
      <x:c s="17" r="L84" t="inlineStr">
        <x:is>
          <x:t xml:space="preserve"/>
        </x:is>
      </x:c>
      <x:c s="14" r="M84" t="inlineStr">
        <x:is>
          <x:t xml:space="preserve">BF16/FP16</x:t>
        </x:is>
      </x:c>
      <x:c s="15" r="N84" t="n">
        <x:v>90</x:v>
      </x:c>
      <x:c s="14" r="O84" t="inlineStr">
        <x:is>
          <x:t xml:space="preserve">BF16/FP16</x:t>
        </x:is>
      </x:c>
      <x:c s="15" r="P84" t="n">
        <x:v>90</x:v>
      </x:c>
      <x:c s="14" r="Q84" t="inlineStr">
        <x:is>
          <x:t xml:space="preserve">Near limit</x:t>
        </x:is>
      </x:c>
      <x:c s="18" r="R84" t="inlineStr">
        <x:is>
          <x:t xml:space="preserve">Legacy coding family.</x:t>
        </x:is>
      </x:c>
      <x:c s="14" r="S84" t="inlineStr">
        <x:is>
          <x:t xml:space="preserve">stable_series_pattern</x:t>
        </x:is>
      </x:c>
      <x:c s="17" r="T84" t="inlineStr">
        <x:is>
          <x:t xml:space="preserve">https://huggingface.co/meta-llama</x:t>
        </x:is>
      </x:c>
      <x:c s="14" r="U84" t="inlineStr">
        <x:is>
          <x:t xml:space="preserve">Transformers; GGUF; GPTQ/AWQ</x:t>
        </x:is>
      </x:c>
      <x:c s="15" r="V84" t="n">
        <x:v>90</x:v>
      </x:c>
      <x:c s="15" r="W84" t="n">
        <x:v>47</x:v>
      </x:c>
      <x:c s="15" r="X84" t="n">
        <x:v>36.3</x:v>
      </x:c>
      <x:c s="15" r="Y84" t="n">
        <x:v>30.9</x:v>
      </x:c>
      <x:c s="15" r="Z84" t="n">
        <x:v>25.5</x:v>
      </x:c>
      <x:c s="15" r="AA84" t="n">
        <x:v>20.1</x:v>
      </x:c>
      <x:c s="15" r="AB84" t="n">
        <x:v>14.8</x:v>
      </x:c>
    </x:row>
    <x:row r="85">
      <x:c r="A85" t="inlineStr">
        <x:is>
          <x:t xml:space="preserve">Meta / Llama</x:t>
        </x:is>
      </x:c>
      <x:c s="14" r="B85" t="inlineStr">
        <x:is>
          <x:t xml:space="preserve">meta-llama/CodeLlama-34b-Python-hf</x:t>
        </x:is>
      </x:c>
      <x:c s="14" r="C85" t="inlineStr">
        <x:is>
          <x:t xml:space="preserve">Code Llama 34B Python</x:t>
        </x:is>
      </x:c>
      <x:c s="15" r="D85" t="n">
        <x:v>34</x:v>
      </x:c>
      <x:c s="15" r="E85"/>
      <x:c s="14" r="F85" t="inlineStr">
        <x:is>
          <x:t xml:space="preserve">coding</x:t>
        </x:is>
      </x:c>
      <x:c s="14" r="G85" t="inlineStr">
        <x:is>
          <x:t xml:space="preserve">text</x:t>
        </x:is>
      </x:c>
      <x:c r="H85" t="inlineStr">
        <x:is>
          <x:t xml:space="preserve">python</x:t>
        </x:is>
      </x:c>
      <x:c r="I85" t="inlineStr">
        <x:is>
          <x:t xml:space="preserve">Dense</x:t>
        </x:is>
      </x:c>
      <x:c s="16" r="J85" t="inlineStr">
        <x:is>
          <x:t xml:space="preserve">gated</x:t>
        </x:is>
      </x:c>
      <x:c s="17" r="K85" t="inlineStr">
        <x:is>
          <x:t xml:space="preserve">https://huggingface.co/meta-llama/CodeLlama-34b-Python-hf</x:t>
        </x:is>
      </x:c>
      <x:c s="17" r="L85" t="inlineStr">
        <x:is>
          <x:t xml:space="preserve"/>
        </x:is>
      </x:c>
      <x:c s="14" r="M85" t="inlineStr">
        <x:is>
          <x:t xml:space="preserve">BF16/FP16</x:t>
        </x:is>
      </x:c>
      <x:c s="15" r="N85" t="n">
        <x:v>90</x:v>
      </x:c>
      <x:c s="14" r="O85" t="inlineStr">
        <x:is>
          <x:t xml:space="preserve">BF16/FP16</x:t>
        </x:is>
      </x:c>
      <x:c s="15" r="P85" t="n">
        <x:v>90</x:v>
      </x:c>
      <x:c s="14" r="Q85" t="inlineStr">
        <x:is>
          <x:t xml:space="preserve">Near limit</x:t>
        </x:is>
      </x:c>
      <x:c s="18" r="R85" t="inlineStr">
        <x:is>
          <x:t xml:space="preserve">Legacy coding family.</x:t>
        </x:is>
      </x:c>
      <x:c s="14" r="S85" t="inlineStr">
        <x:is>
          <x:t xml:space="preserve">stable_series_pattern</x:t>
        </x:is>
      </x:c>
      <x:c s="17" r="T85" t="inlineStr">
        <x:is>
          <x:t xml:space="preserve">https://huggingface.co/meta-llama</x:t>
        </x:is>
      </x:c>
      <x:c s="14" r="U85" t="inlineStr">
        <x:is>
          <x:t xml:space="preserve">Transformers; GGUF; GPTQ/AWQ</x:t>
        </x:is>
      </x:c>
      <x:c s="15" r="V85" t="n">
        <x:v>90</x:v>
      </x:c>
      <x:c s="15" r="W85" t="n">
        <x:v>47</x:v>
      </x:c>
      <x:c s="15" r="X85" t="n">
        <x:v>36.3</x:v>
      </x:c>
      <x:c s="15" r="Y85" t="n">
        <x:v>30.9</x:v>
      </x:c>
      <x:c s="15" r="Z85" t="n">
        <x:v>25.5</x:v>
      </x:c>
      <x:c s="15" r="AA85" t="n">
        <x:v>20.1</x:v>
      </x:c>
      <x:c s="15" r="AB85" t="n">
        <x:v>14.8</x:v>
      </x:c>
    </x:row>
    <x:row r="86">
      <x:c r="A86" t="inlineStr">
        <x:is>
          <x:t xml:space="preserve">Meta / Llama</x:t>
        </x:is>
      </x:c>
      <x:c s="14" r="B86" t="inlineStr">
        <x:is>
          <x:t xml:space="preserve">meta-llama/CodeLlama-13b-hf</x:t>
        </x:is>
      </x:c>
      <x:c s="14" r="C86" t="inlineStr">
        <x:is>
          <x:t xml:space="preserve">Code Llama 13B Base</x:t>
        </x:is>
      </x:c>
      <x:c s="15" r="D86" t="n">
        <x:v>13</x:v>
      </x:c>
      <x:c s="15" r="E86"/>
      <x:c s="14" r="F86" t="inlineStr">
        <x:is>
          <x:t xml:space="preserve">coding</x:t>
        </x:is>
      </x:c>
      <x:c s="14" r="G86" t="inlineStr">
        <x:is>
          <x:t xml:space="preserve">text</x:t>
        </x:is>
      </x:c>
      <x:c r="H86" t="inlineStr">
        <x:is>
          <x:t xml:space="preserve">base</x:t>
        </x:is>
      </x:c>
      <x:c r="I86" t="inlineStr">
        <x:is>
          <x:t xml:space="preserve">Dense</x:t>
        </x:is>
      </x:c>
      <x:c s="16" r="J86" t="inlineStr">
        <x:is>
          <x:t xml:space="preserve">gated</x:t>
        </x:is>
      </x:c>
      <x:c s="17" r="K86" t="inlineStr">
        <x:is>
          <x:t xml:space="preserve">https://huggingface.co/meta-llama/CodeLlama-13b-hf</x:t>
        </x:is>
      </x:c>
      <x:c s="17" r="L86" t="inlineStr">
        <x:is>
          <x:t xml:space="preserve"/>
        </x:is>
      </x:c>
      <x:c s="14" r="M86" t="inlineStr">
        <x:is>
          <x:t xml:space="preserve">BF16/FP16</x:t>
        </x:is>
      </x:c>
      <x:c s="15" r="N86" t="n">
        <x:v>36.9</x:v>
      </x:c>
      <x:c s="14" r="O86" t="inlineStr">
        <x:is>
          <x:t xml:space="preserve">BF16/FP16</x:t>
        </x:is>
      </x:c>
      <x:c s="15" r="P86" t="n">
        <x:v>36.9</x:v>
      </x:c>
      <x:c s="14" r="Q86" t="inlineStr">
        <x:is>
          <x:t xml:space="preserve">Comfortable</x:t>
        </x:is>
      </x:c>
      <x:c s="18" r="R86" t="inlineStr">
        <x:is>
          <x:t xml:space="preserve">Legacy coding family.</x:t>
        </x:is>
      </x:c>
      <x:c s="14" r="S86" t="inlineStr">
        <x:is>
          <x:t xml:space="preserve">stable_series_pattern</x:t>
        </x:is>
      </x:c>
      <x:c s="17" r="T86" t="inlineStr">
        <x:is>
          <x:t xml:space="preserve">https://huggingface.co/meta-llama</x:t>
        </x:is>
      </x:c>
      <x:c s="14" r="U86" t="inlineStr">
        <x:is>
          <x:t xml:space="preserve">Transformers; GGUF; GPTQ/AWQ</x:t>
        </x:is>
      </x:c>
      <x:c s="15" r="V86" t="n">
        <x:v>36.9</x:v>
      </x:c>
      <x:c s="15" r="W86" t="n">
        <x:v>20.4</x:v>
      </x:c>
      <x:c s="15" r="X86" t="n">
        <x:v>16.3</x:v>
      </x:c>
      <x:c s="15" r="Y86" t="n">
        <x:v>14.3</x:v>
      </x:c>
      <x:c s="15" r="Z86" t="n">
        <x:v>12.2</x:v>
      </x:c>
      <x:c s="15" r="AA86" t="n">
        <x:v>10.2</x:v>
      </x:c>
      <x:c s="15" r="AB86" t="n">
        <x:v>8.1</x:v>
      </x:c>
    </x:row>
    <x:row r="87">
      <x:c r="A87" t="inlineStr">
        <x:is>
          <x:t xml:space="preserve">Meta / Llama</x:t>
        </x:is>
      </x:c>
      <x:c s="14" r="B87" t="inlineStr">
        <x:is>
          <x:t xml:space="preserve">meta-llama/CodeLlama-13b-Instruct-hf</x:t>
        </x:is>
      </x:c>
      <x:c s="14" r="C87" t="inlineStr">
        <x:is>
          <x:t xml:space="preserve">Code Llama 13B Instruct</x:t>
        </x:is>
      </x:c>
      <x:c s="15" r="D87" t="n">
        <x:v>13</x:v>
      </x:c>
      <x:c s="15" r="E87"/>
      <x:c s="14" r="F87" t="inlineStr">
        <x:is>
          <x:t xml:space="preserve">coding chat</x:t>
        </x:is>
      </x:c>
      <x:c s="14" r="G87" t="inlineStr">
        <x:is>
          <x:t xml:space="preserve">text</x:t>
        </x:is>
      </x:c>
      <x:c r="H87" t="inlineStr">
        <x:is>
          <x:t xml:space="preserve">instruct</x:t>
        </x:is>
      </x:c>
      <x:c r="I87" t="inlineStr">
        <x:is>
          <x:t xml:space="preserve">Dense</x:t>
        </x:is>
      </x:c>
      <x:c s="16" r="J87" t="inlineStr">
        <x:is>
          <x:t xml:space="preserve">gated</x:t>
        </x:is>
      </x:c>
      <x:c s="17" r="K87" t="inlineStr">
        <x:is>
          <x:t xml:space="preserve">https://huggingface.co/meta-llama/CodeLlama-13b-Instruct-hf</x:t>
        </x:is>
      </x:c>
      <x:c s="17" r="L87" t="inlineStr">
        <x:is>
          <x:t xml:space="preserve"/>
        </x:is>
      </x:c>
      <x:c s="14" r="M87" t="inlineStr">
        <x:is>
          <x:t xml:space="preserve">BF16/FP16</x:t>
        </x:is>
      </x:c>
      <x:c s="15" r="N87" t="n">
        <x:v>36.9</x:v>
      </x:c>
      <x:c s="14" r="O87" t="inlineStr">
        <x:is>
          <x:t xml:space="preserve">BF16/FP16</x:t>
        </x:is>
      </x:c>
      <x:c s="15" r="P87" t="n">
        <x:v>36.9</x:v>
      </x:c>
      <x:c s="14" r="Q87" t="inlineStr">
        <x:is>
          <x:t xml:space="preserve">Comfortable</x:t>
        </x:is>
      </x:c>
      <x:c s="18" r="R87" t="inlineStr">
        <x:is>
          <x:t xml:space="preserve">Legacy coding family.</x:t>
        </x:is>
      </x:c>
      <x:c s="14" r="S87" t="inlineStr">
        <x:is>
          <x:t xml:space="preserve">stable_series_pattern</x:t>
        </x:is>
      </x:c>
      <x:c s="17" r="T87" t="inlineStr">
        <x:is>
          <x:t xml:space="preserve">https://huggingface.co/meta-llama</x:t>
        </x:is>
      </x:c>
      <x:c s="14" r="U87" t="inlineStr">
        <x:is>
          <x:t xml:space="preserve">Transformers; GGUF; GPTQ/AWQ</x:t>
        </x:is>
      </x:c>
      <x:c s="15" r="V87" t="n">
        <x:v>36.9</x:v>
      </x:c>
      <x:c s="15" r="W87" t="n">
        <x:v>20.4</x:v>
      </x:c>
      <x:c s="15" r="X87" t="n">
        <x:v>16.3</x:v>
      </x:c>
      <x:c s="15" r="Y87" t="n">
        <x:v>14.3</x:v>
      </x:c>
      <x:c s="15" r="Z87" t="n">
        <x:v>12.2</x:v>
      </x:c>
      <x:c s="15" r="AA87" t="n">
        <x:v>10.2</x:v>
      </x:c>
      <x:c s="15" r="AB87" t="n">
        <x:v>8.1</x:v>
      </x:c>
    </x:row>
    <x:row r="88">
      <x:c r="A88" t="inlineStr">
        <x:is>
          <x:t xml:space="preserve">Meta / Llama</x:t>
        </x:is>
      </x:c>
      <x:c s="14" r="B88" t="inlineStr">
        <x:is>
          <x:t xml:space="preserve">meta-llama/CodeLlama-13b-Python-hf</x:t>
        </x:is>
      </x:c>
      <x:c s="14" r="C88" t="inlineStr">
        <x:is>
          <x:t xml:space="preserve">Code Llama 13B Python</x:t>
        </x:is>
      </x:c>
      <x:c s="15" r="D88" t="n">
        <x:v>13</x:v>
      </x:c>
      <x:c s="15" r="E88"/>
      <x:c s="14" r="F88" t="inlineStr">
        <x:is>
          <x:t xml:space="preserve">coding</x:t>
        </x:is>
      </x:c>
      <x:c s="14" r="G88" t="inlineStr">
        <x:is>
          <x:t xml:space="preserve">text</x:t>
        </x:is>
      </x:c>
      <x:c r="H88" t="inlineStr">
        <x:is>
          <x:t xml:space="preserve">python</x:t>
        </x:is>
      </x:c>
      <x:c r="I88" t="inlineStr">
        <x:is>
          <x:t xml:space="preserve">Dense</x:t>
        </x:is>
      </x:c>
      <x:c s="16" r="J88" t="inlineStr">
        <x:is>
          <x:t xml:space="preserve">gated</x:t>
        </x:is>
      </x:c>
      <x:c s="17" r="K88" t="inlineStr">
        <x:is>
          <x:t xml:space="preserve">https://huggingface.co/meta-llama/CodeLlama-13b-Python-hf</x:t>
        </x:is>
      </x:c>
      <x:c s="17" r="L88" t="inlineStr">
        <x:is>
          <x:t xml:space="preserve"/>
        </x:is>
      </x:c>
      <x:c s="14" r="M88" t="inlineStr">
        <x:is>
          <x:t xml:space="preserve">BF16/FP16</x:t>
        </x:is>
      </x:c>
      <x:c s="15" r="N88" t="n">
        <x:v>36.9</x:v>
      </x:c>
      <x:c s="14" r="O88" t="inlineStr">
        <x:is>
          <x:t xml:space="preserve">BF16/FP16</x:t>
        </x:is>
      </x:c>
      <x:c s="15" r="P88" t="n">
        <x:v>36.9</x:v>
      </x:c>
      <x:c s="14" r="Q88" t="inlineStr">
        <x:is>
          <x:t xml:space="preserve">Comfortable</x:t>
        </x:is>
      </x:c>
      <x:c s="18" r="R88" t="inlineStr">
        <x:is>
          <x:t xml:space="preserve">Legacy coding family.</x:t>
        </x:is>
      </x:c>
      <x:c s="14" r="S88" t="inlineStr">
        <x:is>
          <x:t xml:space="preserve">stable_series_pattern</x:t>
        </x:is>
      </x:c>
      <x:c s="17" r="T88" t="inlineStr">
        <x:is>
          <x:t xml:space="preserve">https://huggingface.co/meta-llama</x:t>
        </x:is>
      </x:c>
      <x:c s="14" r="U88" t="inlineStr">
        <x:is>
          <x:t xml:space="preserve">Transformers; GGUF; GPTQ/AWQ</x:t>
        </x:is>
      </x:c>
      <x:c s="15" r="V88" t="n">
        <x:v>36.9</x:v>
      </x:c>
      <x:c s="15" r="W88" t="n">
        <x:v>20.4</x:v>
      </x:c>
      <x:c s="15" r="X88" t="n">
        <x:v>16.3</x:v>
      </x:c>
      <x:c s="15" r="Y88" t="n">
        <x:v>14.3</x:v>
      </x:c>
      <x:c s="15" r="Z88" t="n">
        <x:v>12.2</x:v>
      </x:c>
      <x:c s="15" r="AA88" t="n">
        <x:v>10.2</x:v>
      </x:c>
      <x:c s="15" r="AB88" t="n">
        <x:v>8.1</x:v>
      </x:c>
    </x:row>
    <x:row r="89">
      <x:c r="A89" t="inlineStr">
        <x:is>
          <x:t xml:space="preserve">Meta / Llama</x:t>
        </x:is>
      </x:c>
      <x:c s="14" r="B89" t="inlineStr">
        <x:is>
          <x:t xml:space="preserve">meta-llama/Llama-2-13b-hf</x:t>
        </x:is>
      </x:c>
      <x:c s="14" r="C89" t="inlineStr">
        <x:is>
          <x:t xml:space="preserve">Llama 2 13B</x:t>
        </x:is>
      </x:c>
      <x:c s="15" r="D89" t="n">
        <x:v>13</x:v>
      </x:c>
      <x:c s="15" r="E89"/>
      <x:c s="14" r="F89" t="inlineStr">
        <x:is>
          <x:t xml:space="preserve">general</x:t>
        </x:is>
      </x:c>
      <x:c s="14" r="G89" t="inlineStr">
        <x:is>
          <x:t xml:space="preserve">text</x:t>
        </x:is>
      </x:c>
      <x:c r="H89" t="inlineStr">
        <x:is>
          <x:t xml:space="preserve">base</x:t>
        </x:is>
      </x:c>
      <x:c r="I89" t="inlineStr">
        <x:is>
          <x:t xml:space="preserve">Dense</x:t>
        </x:is>
      </x:c>
      <x:c s="16" r="J89" t="inlineStr">
        <x:is>
          <x:t xml:space="preserve">gated</x:t>
        </x:is>
      </x:c>
      <x:c s="17" r="K89" t="inlineStr">
        <x:is>
          <x:t xml:space="preserve">https://huggingface.co/meta-llama/Llama-2-13b-hf</x:t>
        </x:is>
      </x:c>
      <x:c s="17" r="L89" t="inlineStr">
        <x:is>
          <x:t xml:space="preserve"/>
        </x:is>
      </x:c>
      <x:c s="14" r="M89" t="inlineStr">
        <x:is>
          <x:t xml:space="preserve">BF16/FP16</x:t>
        </x:is>
      </x:c>
      <x:c s="15" r="N89" t="n">
        <x:v>36.9</x:v>
      </x:c>
      <x:c s="14" r="O89" t="inlineStr">
        <x:is>
          <x:t xml:space="preserve">BF16/FP16</x:t>
        </x:is>
      </x:c>
      <x:c s="15" r="P89" t="n">
        <x:v>36.9</x:v>
      </x:c>
      <x:c s="14" r="Q89" t="inlineStr">
        <x:is>
          <x:t xml:space="preserve">Comfortable</x:t>
        </x:is>
      </x:c>
      <x:c s="18" r="R89" t="inlineStr">
        <x:is>
          <x:t xml:space="preserve">Legacy but still widely supported.</x:t>
        </x:is>
      </x:c>
      <x:c s="14" r="S89" t="inlineStr">
        <x:is>
          <x:t xml:space="preserve">stable_series_pattern</x:t>
        </x:is>
      </x:c>
      <x:c s="17" r="T89" t="inlineStr">
        <x:is>
          <x:t xml:space="preserve">https://huggingface.co/meta-llama</x:t>
        </x:is>
      </x:c>
      <x:c s="14" r="U89" t="inlineStr">
        <x:is>
          <x:t xml:space="preserve">Transformers; GGUF; GPTQ/AWQ</x:t>
        </x:is>
      </x:c>
      <x:c s="15" r="V89" t="n">
        <x:v>36.9</x:v>
      </x:c>
      <x:c s="15" r="W89" t="n">
        <x:v>20.4</x:v>
      </x:c>
      <x:c s="15" r="X89" t="n">
        <x:v>16.3</x:v>
      </x:c>
      <x:c s="15" r="Y89" t="n">
        <x:v>14.3</x:v>
      </x:c>
      <x:c s="15" r="Z89" t="n">
        <x:v>12.2</x:v>
      </x:c>
      <x:c s="15" r="AA89" t="n">
        <x:v>10.2</x:v>
      </x:c>
      <x:c s="15" r="AB89" t="n">
        <x:v>8.1</x:v>
      </x:c>
    </x:row>
    <x:row r="90">
      <x:c r="A90" t="inlineStr">
        <x:is>
          <x:t xml:space="preserve">Meta / Llama</x:t>
        </x:is>
      </x:c>
      <x:c s="14" r="B90" t="inlineStr">
        <x:is>
          <x:t xml:space="preserve">meta-llama/Llama-2-13b-chat-hf</x:t>
        </x:is>
      </x:c>
      <x:c s="14" r="C90" t="inlineStr">
        <x:is>
          <x:t xml:space="preserve">Llama 2 13B Chat</x:t>
        </x:is>
      </x:c>
      <x:c s="15" r="D90" t="n">
        <x:v>13</x:v>
      </x:c>
      <x:c s="15" r="E90"/>
      <x:c s="14" r="F90" t="inlineStr">
        <x:is>
          <x:t xml:space="preserve">general chat</x:t>
        </x:is>
      </x:c>
      <x:c s="14" r="G90" t="inlineStr">
        <x:is>
          <x:t xml:space="preserve">text</x:t>
        </x:is>
      </x:c>
      <x:c r="H90" t="inlineStr">
        <x:is>
          <x:t xml:space="preserve">chat</x:t>
        </x:is>
      </x:c>
      <x:c r="I90" t="inlineStr">
        <x:is>
          <x:t xml:space="preserve">Dense</x:t>
        </x:is>
      </x:c>
      <x:c s="16" r="J90" t="inlineStr">
        <x:is>
          <x:t xml:space="preserve">gated</x:t>
        </x:is>
      </x:c>
      <x:c s="17" r="K90" t="inlineStr">
        <x:is>
          <x:t xml:space="preserve">https://huggingface.co/meta-llama/Llama-2-13b-chat-hf</x:t>
        </x:is>
      </x:c>
      <x:c s="17" r="L90" t="inlineStr">
        <x:is>
          <x:t xml:space="preserve"/>
        </x:is>
      </x:c>
      <x:c s="14" r="M90" t="inlineStr">
        <x:is>
          <x:t xml:space="preserve">BF16/FP16</x:t>
        </x:is>
      </x:c>
      <x:c s="15" r="N90" t="n">
        <x:v>36.9</x:v>
      </x:c>
      <x:c s="14" r="O90" t="inlineStr">
        <x:is>
          <x:t xml:space="preserve">BF16/FP16</x:t>
        </x:is>
      </x:c>
      <x:c s="15" r="P90" t="n">
        <x:v>36.9</x:v>
      </x:c>
      <x:c s="14" r="Q90" t="inlineStr">
        <x:is>
          <x:t xml:space="preserve">Comfortable</x:t>
        </x:is>
      </x:c>
      <x:c s="18" r="R90" t="inlineStr">
        <x:is>
          <x:t xml:space="preserve">Legacy chat checkpoint.</x:t>
        </x:is>
      </x:c>
      <x:c s="14" r="S90" t="inlineStr">
        <x:is>
          <x:t xml:space="preserve">stable_series_pattern</x:t>
        </x:is>
      </x:c>
      <x:c s="17" r="T90" t="inlineStr">
        <x:is>
          <x:t xml:space="preserve">https://huggingface.co/meta-llama</x:t>
        </x:is>
      </x:c>
      <x:c s="14" r="U90" t="inlineStr">
        <x:is>
          <x:t xml:space="preserve">Transformers; GGUF; GPTQ/AWQ</x:t>
        </x:is>
      </x:c>
      <x:c s="15" r="V90" t="n">
        <x:v>36.9</x:v>
      </x:c>
      <x:c s="15" r="W90" t="n">
        <x:v>20.4</x:v>
      </x:c>
      <x:c s="15" r="X90" t="n">
        <x:v>16.3</x:v>
      </x:c>
      <x:c s="15" r="Y90" t="n">
        <x:v>14.3</x:v>
      </x:c>
      <x:c s="15" r="Z90" t="n">
        <x:v>12.2</x:v>
      </x:c>
      <x:c s="15" r="AA90" t="n">
        <x:v>10.2</x:v>
      </x:c>
      <x:c s="15" r="AB90" t="n">
        <x:v>8.1</x:v>
      </x:c>
    </x:row>
    <x:row r="91">
      <x:c r="A91" t="inlineStr">
        <x:is>
          <x:t xml:space="preserve">Meta / Llama</x:t>
        </x:is>
      </x:c>
      <x:c s="14" r="B91" t="inlineStr">
        <x:is>
          <x:t xml:space="preserve">meta-llama/Llama-3.2-11B-Vision</x:t>
        </x:is>
      </x:c>
      <x:c s="14" r="C91" t="inlineStr">
        <x:is>
          <x:t xml:space="preserve">Llama 3.2 11B Vision</x:t>
        </x:is>
      </x:c>
      <x:c s="15" r="D91" t="n">
        <x:v>11</x:v>
      </x:c>
      <x:c s="15" r="E91"/>
      <x:c s="14" r="F91" t="inlineStr">
        <x:is>
          <x:t xml:space="preserve">multimodal</x:t>
        </x:is>
      </x:c>
      <x:c s="14" r="G91" t="inlineStr">
        <x:is>
          <x:t xml:space="preserve">text+vision</x:t>
        </x:is>
      </x:c>
      <x:c r="H91" t="inlineStr">
        <x:is>
          <x:t xml:space="preserve">base</x:t>
        </x:is>
      </x:c>
      <x:c r="I91" t="inlineStr">
        <x:is>
          <x:t xml:space="preserve">Dense</x:t>
        </x:is>
      </x:c>
      <x:c s="16" r="J91" t="inlineStr">
        <x:is>
          <x:t xml:space="preserve">gated</x:t>
        </x:is>
      </x:c>
      <x:c s="17" r="K91" t="inlineStr">
        <x:is>
          <x:t xml:space="preserve">https://huggingface.co/meta-llama/Llama-3.2-11B-Vision</x:t>
        </x:is>
      </x:c>
      <x:c s="17" r="L91" t="inlineStr">
        <x:is>
          <x:t xml:space="preserve"/>
        </x:is>
      </x:c>
      <x:c s="14" r="M91" t="inlineStr">
        <x:is>
          <x:t xml:space="preserve">BF16/FP16</x:t>
        </x:is>
      </x:c>
      <x:c s="15" r="N91" t="n">
        <x:v>31.8</x:v>
      </x:c>
      <x:c s="14" r="O91" t="inlineStr">
        <x:is>
          <x:t xml:space="preserve">BF16/FP16</x:t>
        </x:is>
      </x:c>
      <x:c s="15" r="P91" t="n">
        <x:v>31.8</x:v>
      </x:c>
      <x:c s="14" r="Q91" t="inlineStr">
        <x:is>
          <x:t xml:space="preserve">Comfortable</x:t>
        </x:is>
      </x:c>
      <x:c s="18" r="R91" t="inlineStr">
        <x:is>
          <x:t xml:space="preserve">Vision-capable model.</x:t>
        </x:is>
      </x:c>
      <x:c s="14" r="S91" t="inlineStr">
        <x:is>
          <x:t xml:space="preserve">current_org_page_2026-03-27</x:t>
        </x:is>
      </x:c>
      <x:c s="17" r="T91" t="inlineStr">
        <x:is>
          <x:t xml:space="preserve">https://huggingface.co/meta-llama</x:t>
        </x:is>
      </x:c>
      <x:c s="14" r="U91" t="inlineStr">
        <x:is>
          <x:t xml:space="preserve">Transformers; GGUF; GPTQ/AWQ</x:t>
        </x:is>
      </x:c>
      <x:c s="15" r="V91" t="n">
        <x:v>31.8</x:v>
      </x:c>
      <x:c s="15" r="W91" t="n">
        <x:v>17.9</x:v>
      </x:c>
      <x:c s="15" r="X91" t="n">
        <x:v>14.4</x:v>
      </x:c>
      <x:c s="15" r="Y91" t="n">
        <x:v>12.7</x:v>
      </x:c>
      <x:c s="15" r="Z91" t="n">
        <x:v>11</x:v>
      </x:c>
      <x:c s="15" r="AA91" t="n">
        <x:v>9.2</x:v>
      </x:c>
      <x:c s="15" r="AB91" t="n">
        <x:v>7.5</x:v>
      </x:c>
    </x:row>
    <x:row r="92">
      <x:c r="A92" t="inlineStr">
        <x:is>
          <x:t xml:space="preserve">Meta / Llama</x:t>
        </x:is>
      </x:c>
      <x:c s="14" r="B92" t="inlineStr">
        <x:is>
          <x:t xml:space="preserve">meta-llama/Llama-3.2-11B-Vision-Instruct</x:t>
        </x:is>
      </x:c>
      <x:c s="14" r="C92" t="inlineStr">
        <x:is>
          <x:t xml:space="preserve">Llama 3.2 11B Vision Instruct</x:t>
        </x:is>
      </x:c>
      <x:c s="15" r="D92" t="n">
        <x:v>11</x:v>
      </x:c>
      <x:c s="15" r="E92"/>
      <x:c s="14" r="F92" t="inlineStr">
        <x:is>
          <x:t xml:space="preserve">multimodal chat</x:t>
        </x:is>
      </x:c>
      <x:c s="14" r="G92" t="inlineStr">
        <x:is>
          <x:t xml:space="preserve">text+vision</x:t>
        </x:is>
      </x:c>
      <x:c r="H92" t="inlineStr">
        <x:is>
          <x:t xml:space="preserve">instruct</x:t>
        </x:is>
      </x:c>
      <x:c r="I92" t="inlineStr">
        <x:is>
          <x:t xml:space="preserve">Dense</x:t>
        </x:is>
      </x:c>
      <x:c s="16" r="J92" t="inlineStr">
        <x:is>
          <x:t xml:space="preserve">gated</x:t>
        </x:is>
      </x:c>
      <x:c s="17" r="K92" t="inlineStr">
        <x:is>
          <x:t xml:space="preserve">https://huggingface.co/meta-llama/Llama-3.2-11B-Vision-Instruct</x:t>
        </x:is>
      </x:c>
      <x:c s="17" r="L92" t="inlineStr">
        <x:is>
          <x:t xml:space="preserve"/>
        </x:is>
      </x:c>
      <x:c s="14" r="M92" t="inlineStr">
        <x:is>
          <x:t xml:space="preserve">BF16/FP16</x:t>
        </x:is>
      </x:c>
      <x:c s="15" r="N92" t="n">
        <x:v>31.8</x:v>
      </x:c>
      <x:c s="14" r="O92" t="inlineStr">
        <x:is>
          <x:t xml:space="preserve">BF16/FP16</x:t>
        </x:is>
      </x:c>
      <x:c s="15" r="P92" t="n">
        <x:v>31.8</x:v>
      </x:c>
      <x:c s="14" r="Q92" t="inlineStr">
        <x:is>
          <x:t xml:space="preserve">Comfortable</x:t>
        </x:is>
      </x:c>
      <x:c s="18" r="R92" t="inlineStr">
        <x:is>
          <x:t xml:space="preserve">Vision-capable instruct model.</x:t>
        </x:is>
      </x:c>
      <x:c s="14" r="S92" t="inlineStr">
        <x:is>
          <x:t xml:space="preserve">current_org_page_2026-03-27</x:t>
        </x:is>
      </x:c>
      <x:c s="17" r="T92" t="inlineStr">
        <x:is>
          <x:t xml:space="preserve">https://huggingface.co/meta-llama</x:t>
        </x:is>
      </x:c>
      <x:c s="14" r="U92" t="inlineStr">
        <x:is>
          <x:t xml:space="preserve">Transformers; GGUF; GPTQ/AWQ</x:t>
        </x:is>
      </x:c>
      <x:c s="15" r="V92" t="n">
        <x:v>31.8</x:v>
      </x:c>
      <x:c s="15" r="W92" t="n">
        <x:v>17.9</x:v>
      </x:c>
      <x:c s="15" r="X92" t="n">
        <x:v>14.4</x:v>
      </x:c>
      <x:c s="15" r="Y92" t="n">
        <x:v>12.7</x:v>
      </x:c>
      <x:c s="15" r="Z92" t="n">
        <x:v>11</x:v>
      </x:c>
      <x:c s="15" r="AA92" t="n">
        <x:v>9.2</x:v>
      </x:c>
      <x:c s="15" r="AB92" t="n">
        <x:v>7.5</x:v>
      </x:c>
    </x:row>
    <x:row r="93">
      <x:c r="A93" t="inlineStr">
        <x:is>
          <x:t xml:space="preserve">Meta / Llama</x:t>
        </x:is>
      </x:c>
      <x:c s="14" r="B93" t="inlineStr">
        <x:is>
          <x:t xml:space="preserve">meta-llama/Llama-3.1-8B</x:t>
        </x:is>
      </x:c>
      <x:c s="14" r="C93" t="inlineStr">
        <x:is>
          <x:t xml:space="preserve">Llama 3.1 8B</x:t>
        </x:is>
      </x:c>
      <x:c s="15" r="D93" t="n">
        <x:v>8</x:v>
      </x:c>
      <x:c s="15" r="E93"/>
      <x:c s="14" r="F93" t="inlineStr">
        <x:is>
          <x:t xml:space="preserve">general</x:t>
        </x:is>
      </x:c>
      <x:c s="14" r="G93" t="inlineStr">
        <x:is>
          <x:t xml:space="preserve">text</x:t>
        </x:is>
      </x:c>
      <x:c r="H93" t="inlineStr">
        <x:is>
          <x:t xml:space="preserve">base</x:t>
        </x:is>
      </x:c>
      <x:c r="I93" t="inlineStr">
        <x:is>
          <x:t xml:space="preserve">Dense</x:t>
        </x:is>
      </x:c>
      <x:c s="16" r="J93" t="inlineStr">
        <x:is>
          <x:t xml:space="preserve">gated</x:t>
        </x:is>
      </x:c>
      <x:c s="17" r="K93" t="inlineStr">
        <x:is>
          <x:t xml:space="preserve">https://huggingface.co/meta-llama/Llama-3.1-8B</x:t>
        </x:is>
      </x:c>
      <x:c s="17" r="L93" t="inlineStr">
        <x:is>
          <x:t xml:space="preserve"/>
        </x:is>
      </x:c>
      <x:c s="14" r="M93" t="inlineStr">
        <x:is>
          <x:t xml:space="preserve">BF16/FP16</x:t>
        </x:is>
      </x:c>
      <x:c s="15" r="N93" t="n">
        <x:v>24.2</x:v>
      </x:c>
      <x:c s="14" r="O93" t="inlineStr">
        <x:is>
          <x:t xml:space="preserve">BF16/FP16</x:t>
        </x:is>
      </x:c>
      <x:c s="15" r="P93" t="n">
        <x:v>24.2</x:v>
      </x:c>
      <x:c s="14" r="Q93" t="inlineStr">
        <x:is>
          <x:t xml:space="preserve">Comfortable</x:t>
        </x:is>
      </x:c>
      <x:c s="18" r="R93" t="inlineStr">
        <x:is>
          <x:t xml:space="preserve"/>
        </x:is>
      </x:c>
      <x:c s="14" r="S93" t="inlineStr">
        <x:is>
          <x:t xml:space="preserve">current_org_page_2026-03-27</x:t>
        </x:is>
      </x:c>
      <x:c s="17" r="T93" t="inlineStr">
        <x:is>
          <x:t xml:space="preserve">https://huggingface.co/meta-llama</x:t>
        </x:is>
      </x:c>
      <x:c s="14" r="U93" t="inlineStr">
        <x:is>
          <x:t xml:space="preserve">Transformers; GGUF; GPTQ/AWQ</x:t>
        </x:is>
      </x:c>
      <x:c s="15" r="V93" t="n">
        <x:v>24.2</x:v>
      </x:c>
      <x:c s="15" r="W93" t="n">
        <x:v>14.1</x:v>
      </x:c>
      <x:c s="15" r="X93" t="n">
        <x:v>11.6</x:v>
      </x:c>
      <x:c s="15" r="Y93" t="n">
        <x:v>10.3</x:v>
      </x:c>
      <x:c s="15" r="Z93" t="n">
        <x:v>9.1</x:v>
      </x:c>
      <x:c s="15" r="AA93" t="n">
        <x:v>7.8</x:v>
      </x:c>
      <x:c s="15" r="AB93" t="n">
        <x:v>6.5</x:v>
      </x:c>
    </x:row>
    <x:row r="94">
      <x:c r="A94" t="inlineStr">
        <x:is>
          <x:t xml:space="preserve">Meta / Llama</x:t>
        </x:is>
      </x:c>
      <x:c s="14" r="B94" t="inlineStr">
        <x:is>
          <x:t xml:space="preserve">meta-llama/Llama-3.1-8B-Instruct</x:t>
        </x:is>
      </x:c>
      <x:c s="14" r="C94" t="inlineStr">
        <x:is>
          <x:t xml:space="preserve">Llama 3.1 8B Instruct</x:t>
        </x:is>
      </x:c>
      <x:c s="15" r="D94" t="n">
        <x:v>8</x:v>
      </x:c>
      <x:c s="15" r="E94"/>
      <x:c s="14" r="F94" t="inlineStr">
        <x:is>
          <x:t xml:space="preserve">general chat</x:t>
        </x:is>
      </x:c>
      <x:c s="14" r="G94" t="inlineStr">
        <x:is>
          <x:t xml:space="preserve">text</x:t>
        </x:is>
      </x:c>
      <x:c r="H94" t="inlineStr">
        <x:is>
          <x:t xml:space="preserve">instruct</x:t>
        </x:is>
      </x:c>
      <x:c r="I94" t="inlineStr">
        <x:is>
          <x:t xml:space="preserve">Dense</x:t>
        </x:is>
      </x:c>
      <x:c s="16" r="J94" t="inlineStr">
        <x:is>
          <x:t xml:space="preserve">gated</x:t>
        </x:is>
      </x:c>
      <x:c s="17" r="K94" t="inlineStr">
        <x:is>
          <x:t xml:space="preserve">https://huggingface.co/meta-llama/Llama-3.1-8B-Instruct</x:t>
        </x:is>
      </x:c>
      <x:c s="17" r="L94" t="inlineStr">
        <x:is>
          <x:t xml:space="preserve"/>
        </x:is>
      </x:c>
      <x:c s="14" r="M94" t="inlineStr">
        <x:is>
          <x:t xml:space="preserve">BF16/FP16</x:t>
        </x:is>
      </x:c>
      <x:c s="15" r="N94" t="n">
        <x:v>24.2</x:v>
      </x:c>
      <x:c s="14" r="O94" t="inlineStr">
        <x:is>
          <x:t xml:space="preserve">BF16/FP16</x:t>
        </x:is>
      </x:c>
      <x:c s="15" r="P94" t="n">
        <x:v>24.2</x:v>
      </x:c>
      <x:c s="14" r="Q94" t="inlineStr">
        <x:is>
          <x:t xml:space="preserve">Comfortable</x:t>
        </x:is>
      </x:c>
      <x:c s="18" r="R94" t="inlineStr">
        <x:is>
          <x:t xml:space="preserve"/>
        </x:is>
      </x:c>
      <x:c s="14" r="S94" t="inlineStr">
        <x:is>
          <x:t xml:space="preserve">current_org_page_2026-03-27</x:t>
        </x:is>
      </x:c>
      <x:c s="17" r="T94" t="inlineStr">
        <x:is>
          <x:t xml:space="preserve">https://huggingface.co/meta-llama</x:t>
        </x:is>
      </x:c>
      <x:c s="14" r="U94" t="inlineStr">
        <x:is>
          <x:t xml:space="preserve">Transformers; GGUF; GPTQ/AWQ</x:t>
        </x:is>
      </x:c>
      <x:c s="15" r="V94" t="n">
        <x:v>24.2</x:v>
      </x:c>
      <x:c s="15" r="W94" t="n">
        <x:v>14.1</x:v>
      </x:c>
      <x:c s="15" r="X94" t="n">
        <x:v>11.6</x:v>
      </x:c>
      <x:c s="15" r="Y94" t="n">
        <x:v>10.3</x:v>
      </x:c>
      <x:c s="15" r="Z94" t="n">
        <x:v>9.1</x:v>
      </x:c>
      <x:c s="15" r="AA94" t="n">
        <x:v>7.8</x:v>
      </x:c>
      <x:c s="15" r="AB94" t="n">
        <x:v>6.5</x:v>
      </x:c>
    </x:row>
    <x:row r="95">
      <x:c r="A95" t="inlineStr">
        <x:is>
          <x:t xml:space="preserve">Meta / Llama</x:t>
        </x:is>
      </x:c>
      <x:c s="14" r="B95" t="inlineStr">
        <x:is>
          <x:t xml:space="preserve">meta-llama/Meta-Llama-3-8B</x:t>
        </x:is>
      </x:c>
      <x:c s="14" r="C95" t="inlineStr">
        <x:is>
          <x:t xml:space="preserve">Meta Llama 3 8B</x:t>
        </x:is>
      </x:c>
      <x:c s="15" r="D95" t="n">
        <x:v>8</x:v>
      </x:c>
      <x:c s="15" r="E95"/>
      <x:c s="14" r="F95" t="inlineStr">
        <x:is>
          <x:t xml:space="preserve">general</x:t>
        </x:is>
      </x:c>
      <x:c s="14" r="G95" t="inlineStr">
        <x:is>
          <x:t xml:space="preserve">text</x:t>
        </x:is>
      </x:c>
      <x:c r="H95" t="inlineStr">
        <x:is>
          <x:t xml:space="preserve">base</x:t>
        </x:is>
      </x:c>
      <x:c r="I95" t="inlineStr">
        <x:is>
          <x:t xml:space="preserve">Dense</x:t>
        </x:is>
      </x:c>
      <x:c s="16" r="J95" t="inlineStr">
        <x:is>
          <x:t xml:space="preserve">gated</x:t>
        </x:is>
      </x:c>
      <x:c s="17" r="K95" t="inlineStr">
        <x:is>
          <x:t xml:space="preserve">https://huggingface.co/meta-llama/Meta-Llama-3-8B</x:t>
        </x:is>
      </x:c>
      <x:c s="17" r="L95" t="inlineStr">
        <x:is>
          <x:t xml:space="preserve"/>
        </x:is>
      </x:c>
      <x:c s="14" r="M95" t="inlineStr">
        <x:is>
          <x:t xml:space="preserve">BF16/FP16</x:t>
        </x:is>
      </x:c>
      <x:c s="15" r="N95" t="n">
        <x:v>24.2</x:v>
      </x:c>
      <x:c s="14" r="O95" t="inlineStr">
        <x:is>
          <x:t xml:space="preserve">BF16/FP16</x:t>
        </x:is>
      </x:c>
      <x:c s="15" r="P95" t="n">
        <x:v>24.2</x:v>
      </x:c>
      <x:c s="14" r="Q95" t="inlineStr">
        <x:is>
          <x:t xml:space="preserve">Comfortable</x:t>
        </x:is>
      </x:c>
      <x:c s="18" r="R95" t="inlineStr">
        <x:is>
          <x:t xml:space="preserve"/>
        </x:is>
      </x:c>
      <x:c s="14" r="S95" t="inlineStr">
        <x:is>
          <x:t xml:space="preserve">current_org_page_2026-03-27</x:t>
        </x:is>
      </x:c>
      <x:c s="17" r="T95" t="inlineStr">
        <x:is>
          <x:t xml:space="preserve">https://huggingface.co/meta-llama</x:t>
        </x:is>
      </x:c>
      <x:c s="14" r="U95" t="inlineStr">
        <x:is>
          <x:t xml:space="preserve">Transformers; GGUF; GPTQ/AWQ</x:t>
        </x:is>
      </x:c>
      <x:c s="15" r="V95" t="n">
        <x:v>24.2</x:v>
      </x:c>
      <x:c s="15" r="W95" t="n">
        <x:v>14.1</x:v>
      </x:c>
      <x:c s="15" r="X95" t="n">
        <x:v>11.6</x:v>
      </x:c>
      <x:c s="15" r="Y95" t="n">
        <x:v>10.3</x:v>
      </x:c>
      <x:c s="15" r="Z95" t="n">
        <x:v>9.1</x:v>
      </x:c>
      <x:c s="15" r="AA95" t="n">
        <x:v>7.8</x:v>
      </x:c>
      <x:c s="15" r="AB95" t="n">
        <x:v>6.5</x:v>
      </x:c>
    </x:row>
    <x:row r="96">
      <x:c r="A96" t="inlineStr">
        <x:is>
          <x:t xml:space="preserve">Meta / Llama</x:t>
        </x:is>
      </x:c>
      <x:c s="14" r="B96" t="inlineStr">
        <x:is>
          <x:t xml:space="preserve">meta-llama/Meta-Llama-3-8B-Instruct</x:t>
        </x:is>
      </x:c>
      <x:c s="14" r="C96" t="inlineStr">
        <x:is>
          <x:t xml:space="preserve">Meta Llama 3 8B Instruct</x:t>
        </x:is>
      </x:c>
      <x:c s="15" r="D96" t="n">
        <x:v>8</x:v>
      </x:c>
      <x:c s="15" r="E96"/>
      <x:c s="14" r="F96" t="inlineStr">
        <x:is>
          <x:t xml:space="preserve">general chat</x:t>
        </x:is>
      </x:c>
      <x:c s="14" r="G96" t="inlineStr">
        <x:is>
          <x:t xml:space="preserve">text</x:t>
        </x:is>
      </x:c>
      <x:c r="H96" t="inlineStr">
        <x:is>
          <x:t xml:space="preserve">instruct</x:t>
        </x:is>
      </x:c>
      <x:c r="I96" t="inlineStr">
        <x:is>
          <x:t xml:space="preserve">Dense</x:t>
        </x:is>
      </x:c>
      <x:c s="16" r="J96" t="inlineStr">
        <x:is>
          <x:t xml:space="preserve">gated</x:t>
        </x:is>
      </x:c>
      <x:c s="17" r="K96" t="inlineStr">
        <x:is>
          <x:t xml:space="preserve">https://huggingface.co/meta-llama/Meta-Llama-3-8B-Instruct</x:t>
        </x:is>
      </x:c>
      <x:c s="17" r="L96" t="inlineStr">
        <x:is>
          <x:t xml:space="preserve"/>
        </x:is>
      </x:c>
      <x:c s="14" r="M96" t="inlineStr">
        <x:is>
          <x:t xml:space="preserve">BF16/FP16</x:t>
        </x:is>
      </x:c>
      <x:c s="15" r="N96" t="n">
        <x:v>24.2</x:v>
      </x:c>
      <x:c s="14" r="O96" t="inlineStr">
        <x:is>
          <x:t xml:space="preserve">BF16/FP16</x:t>
        </x:is>
      </x:c>
      <x:c s="15" r="P96" t="n">
        <x:v>24.2</x:v>
      </x:c>
      <x:c s="14" r="Q96" t="inlineStr">
        <x:is>
          <x:t xml:space="preserve">Comfortable</x:t>
        </x:is>
      </x:c>
      <x:c s="18" r="R96" t="inlineStr">
        <x:is>
          <x:t xml:space="preserve"/>
        </x:is>
      </x:c>
      <x:c s="14" r="S96" t="inlineStr">
        <x:is>
          <x:t xml:space="preserve">current_org_page_2026-03-27</x:t>
        </x:is>
      </x:c>
      <x:c s="17" r="T96" t="inlineStr">
        <x:is>
          <x:t xml:space="preserve">https://huggingface.co/meta-llama</x:t>
        </x:is>
      </x:c>
      <x:c s="14" r="U96" t="inlineStr">
        <x:is>
          <x:t xml:space="preserve">Transformers; GGUF; GPTQ/AWQ</x:t>
        </x:is>
      </x:c>
      <x:c s="15" r="V96" t="n">
        <x:v>24.2</x:v>
      </x:c>
      <x:c s="15" r="W96" t="n">
        <x:v>14.1</x:v>
      </x:c>
      <x:c s="15" r="X96" t="n">
        <x:v>11.6</x:v>
      </x:c>
      <x:c s="15" r="Y96" t="n">
        <x:v>10.3</x:v>
      </x:c>
      <x:c s="15" r="Z96" t="n">
        <x:v>9.1</x:v>
      </x:c>
      <x:c s="15" r="AA96" t="n">
        <x:v>7.8</x:v>
      </x:c>
      <x:c s="15" r="AB96" t="n">
        <x:v>6.5</x:v>
      </x:c>
    </x:row>
    <x:row r="97">
      <x:c r="A97" t="inlineStr">
        <x:is>
          <x:t xml:space="preserve">Meta / Llama</x:t>
        </x:is>
      </x:c>
      <x:c s="14" r="B97" t="inlineStr">
        <x:is>
          <x:t xml:space="preserve">meta-llama/CodeLlama-7b-hf</x:t>
        </x:is>
      </x:c>
      <x:c s="14" r="C97" t="inlineStr">
        <x:is>
          <x:t xml:space="preserve">Code Llama 7B Base</x:t>
        </x:is>
      </x:c>
      <x:c s="15" r="D97" t="n">
        <x:v>7</x:v>
      </x:c>
      <x:c s="15" r="E97"/>
      <x:c s="14" r="F97" t="inlineStr">
        <x:is>
          <x:t xml:space="preserve">coding</x:t>
        </x:is>
      </x:c>
      <x:c s="14" r="G97" t="inlineStr">
        <x:is>
          <x:t xml:space="preserve">text</x:t>
        </x:is>
      </x:c>
      <x:c r="H97" t="inlineStr">
        <x:is>
          <x:t xml:space="preserve">base</x:t>
        </x:is>
      </x:c>
      <x:c r="I97" t="inlineStr">
        <x:is>
          <x:t xml:space="preserve">Dense</x:t>
        </x:is>
      </x:c>
      <x:c s="16" r="J97" t="inlineStr">
        <x:is>
          <x:t xml:space="preserve">gated</x:t>
        </x:is>
      </x:c>
      <x:c s="17" r="K97" t="inlineStr">
        <x:is>
          <x:t xml:space="preserve">https://huggingface.co/meta-llama/CodeLlama-7b-hf</x:t>
        </x:is>
      </x:c>
      <x:c s="17" r="L97" t="inlineStr">
        <x:is>
          <x:t xml:space="preserve"/>
        </x:is>
      </x:c>
      <x:c s="14" r="M97" t="inlineStr">
        <x:is>
          <x:t xml:space="preserve">BF16/FP16</x:t>
        </x:is>
      </x:c>
      <x:c s="15" r="N97" t="n">
        <x:v>21.7</x:v>
      </x:c>
      <x:c s="14" r="O97" t="inlineStr">
        <x:is>
          <x:t xml:space="preserve">BF16/FP16</x:t>
        </x:is>
      </x:c>
      <x:c s="15" r="P97" t="n">
        <x:v>21.7</x:v>
      </x:c>
      <x:c s="14" r="Q97" t="inlineStr">
        <x:is>
          <x:t xml:space="preserve">Comfortable</x:t>
        </x:is>
      </x:c>
      <x:c s="18" r="R97" t="inlineStr">
        <x:is>
          <x:t xml:space="preserve">Legacy coding family.</x:t>
        </x:is>
      </x:c>
      <x:c s="14" r="S97" t="inlineStr">
        <x:is>
          <x:t xml:space="preserve">stable_series_pattern</x:t>
        </x:is>
      </x:c>
      <x:c s="17" r="T97" t="inlineStr">
        <x:is>
          <x:t xml:space="preserve">https://huggingface.co/meta-llama</x:t>
        </x:is>
      </x:c>
      <x:c s="14" r="U97" t="inlineStr">
        <x:is>
          <x:t xml:space="preserve">Transformers; GGUF; GPTQ/AWQ</x:t>
        </x:is>
      </x:c>
      <x:c s="15" r="V97" t="n">
        <x:v>21.7</x:v>
      </x:c>
      <x:c s="15" r="W97" t="n">
        <x:v>12.9</x:v>
      </x:c>
      <x:c s="15" r="X97" t="n">
        <x:v>10.6</x:v>
      </x:c>
      <x:c s="15" r="Y97" t="n">
        <x:v>9.5</x:v>
      </x:c>
      <x:c s="15" r="Z97" t="n">
        <x:v>8.4</x:v>
      </x:c>
      <x:c s="15" r="AA97" t="n">
        <x:v>7.3</x:v>
      </x:c>
      <x:c s="15" r="AB97" t="n">
        <x:v>6.2</x:v>
      </x:c>
    </x:row>
    <x:row r="98">
      <x:c r="A98" t="inlineStr">
        <x:is>
          <x:t xml:space="preserve">Meta / Llama</x:t>
        </x:is>
      </x:c>
      <x:c s="14" r="B98" t="inlineStr">
        <x:is>
          <x:t xml:space="preserve">meta-llama/CodeLlama-7b-Instruct-hf</x:t>
        </x:is>
      </x:c>
      <x:c s="14" r="C98" t="inlineStr">
        <x:is>
          <x:t xml:space="preserve">Code Llama 7B Instruct</x:t>
        </x:is>
      </x:c>
      <x:c s="15" r="D98" t="n">
        <x:v>7</x:v>
      </x:c>
      <x:c s="15" r="E98"/>
      <x:c s="14" r="F98" t="inlineStr">
        <x:is>
          <x:t xml:space="preserve">coding chat</x:t>
        </x:is>
      </x:c>
      <x:c s="14" r="G98" t="inlineStr">
        <x:is>
          <x:t xml:space="preserve">text</x:t>
        </x:is>
      </x:c>
      <x:c r="H98" t="inlineStr">
        <x:is>
          <x:t xml:space="preserve">instruct</x:t>
        </x:is>
      </x:c>
      <x:c r="I98" t="inlineStr">
        <x:is>
          <x:t xml:space="preserve">Dense</x:t>
        </x:is>
      </x:c>
      <x:c s="16" r="J98" t="inlineStr">
        <x:is>
          <x:t xml:space="preserve">gated</x:t>
        </x:is>
      </x:c>
      <x:c s="17" r="K98" t="inlineStr">
        <x:is>
          <x:t xml:space="preserve">https://huggingface.co/meta-llama/CodeLlama-7b-Instruct-hf</x:t>
        </x:is>
      </x:c>
      <x:c s="17" r="L98" t="inlineStr">
        <x:is>
          <x:t xml:space="preserve"/>
        </x:is>
      </x:c>
      <x:c s="14" r="M98" t="inlineStr">
        <x:is>
          <x:t xml:space="preserve">BF16/FP16</x:t>
        </x:is>
      </x:c>
      <x:c s="15" r="N98" t="n">
        <x:v>21.7</x:v>
      </x:c>
      <x:c s="14" r="O98" t="inlineStr">
        <x:is>
          <x:t xml:space="preserve">BF16/FP16</x:t>
        </x:is>
      </x:c>
      <x:c s="15" r="P98" t="n">
        <x:v>21.7</x:v>
      </x:c>
      <x:c s="14" r="Q98" t="inlineStr">
        <x:is>
          <x:t xml:space="preserve">Comfortable</x:t>
        </x:is>
      </x:c>
      <x:c s="18" r="R98" t="inlineStr">
        <x:is>
          <x:t xml:space="preserve">Legacy coding family.</x:t>
        </x:is>
      </x:c>
      <x:c s="14" r="S98" t="inlineStr">
        <x:is>
          <x:t xml:space="preserve">stable_series_pattern</x:t>
        </x:is>
      </x:c>
      <x:c s="17" r="T98" t="inlineStr">
        <x:is>
          <x:t xml:space="preserve">https://huggingface.co/meta-llama</x:t>
        </x:is>
      </x:c>
      <x:c s="14" r="U98" t="inlineStr">
        <x:is>
          <x:t xml:space="preserve">Transformers; GGUF; GPTQ/AWQ</x:t>
        </x:is>
      </x:c>
      <x:c s="15" r="V98" t="n">
        <x:v>21.7</x:v>
      </x:c>
      <x:c s="15" r="W98" t="n">
        <x:v>12.9</x:v>
      </x:c>
      <x:c s="15" r="X98" t="n">
        <x:v>10.6</x:v>
      </x:c>
      <x:c s="15" r="Y98" t="n">
        <x:v>9.5</x:v>
      </x:c>
      <x:c s="15" r="Z98" t="n">
        <x:v>8.4</x:v>
      </x:c>
      <x:c s="15" r="AA98" t="n">
        <x:v>7.3</x:v>
      </x:c>
      <x:c s="15" r="AB98" t="n">
        <x:v>6.2</x:v>
      </x:c>
    </x:row>
    <x:row r="99">
      <x:c r="A99" t="inlineStr">
        <x:is>
          <x:t xml:space="preserve">Meta / Llama</x:t>
        </x:is>
      </x:c>
      <x:c s="14" r="B99" t="inlineStr">
        <x:is>
          <x:t xml:space="preserve">meta-llama/CodeLlama-7b-Python-hf</x:t>
        </x:is>
      </x:c>
      <x:c s="14" r="C99" t="inlineStr">
        <x:is>
          <x:t xml:space="preserve">Code Llama 7B Python</x:t>
        </x:is>
      </x:c>
      <x:c s="15" r="D99" t="n">
        <x:v>7</x:v>
      </x:c>
      <x:c s="15" r="E99"/>
      <x:c s="14" r="F99" t="inlineStr">
        <x:is>
          <x:t xml:space="preserve">coding</x:t>
        </x:is>
      </x:c>
      <x:c s="14" r="G99" t="inlineStr">
        <x:is>
          <x:t xml:space="preserve">text</x:t>
        </x:is>
      </x:c>
      <x:c r="H99" t="inlineStr">
        <x:is>
          <x:t xml:space="preserve">python</x:t>
        </x:is>
      </x:c>
      <x:c r="I99" t="inlineStr">
        <x:is>
          <x:t xml:space="preserve">Dense</x:t>
        </x:is>
      </x:c>
      <x:c s="16" r="J99" t="inlineStr">
        <x:is>
          <x:t xml:space="preserve">gated</x:t>
        </x:is>
      </x:c>
      <x:c s="17" r="K99" t="inlineStr">
        <x:is>
          <x:t xml:space="preserve">https://huggingface.co/meta-llama/CodeLlama-7b-Python-hf</x:t>
        </x:is>
      </x:c>
      <x:c s="17" r="L99" t="inlineStr">
        <x:is>
          <x:t xml:space="preserve"/>
        </x:is>
      </x:c>
      <x:c s="14" r="M99" t="inlineStr">
        <x:is>
          <x:t xml:space="preserve">BF16/FP16</x:t>
        </x:is>
      </x:c>
      <x:c s="15" r="N99" t="n">
        <x:v>21.7</x:v>
      </x:c>
      <x:c s="14" r="O99" t="inlineStr">
        <x:is>
          <x:t xml:space="preserve">BF16/FP16</x:t>
        </x:is>
      </x:c>
      <x:c s="15" r="P99" t="n">
        <x:v>21.7</x:v>
      </x:c>
      <x:c s="14" r="Q99" t="inlineStr">
        <x:is>
          <x:t xml:space="preserve">Comfortable</x:t>
        </x:is>
      </x:c>
      <x:c s="18" r="R99" t="inlineStr">
        <x:is>
          <x:t xml:space="preserve">Legacy coding family.</x:t>
        </x:is>
      </x:c>
      <x:c s="14" r="S99" t="inlineStr">
        <x:is>
          <x:t xml:space="preserve">stable_series_pattern</x:t>
        </x:is>
      </x:c>
      <x:c s="17" r="T99" t="inlineStr">
        <x:is>
          <x:t xml:space="preserve">https://huggingface.co/meta-llama</x:t>
        </x:is>
      </x:c>
      <x:c s="14" r="U99" t="inlineStr">
        <x:is>
          <x:t xml:space="preserve">Transformers; GGUF; GPTQ/AWQ</x:t>
        </x:is>
      </x:c>
      <x:c s="15" r="V99" t="n">
        <x:v>21.7</x:v>
      </x:c>
      <x:c s="15" r="W99" t="n">
        <x:v>12.9</x:v>
      </x:c>
      <x:c s="15" r="X99" t="n">
        <x:v>10.6</x:v>
      </x:c>
      <x:c s="15" r="Y99" t="n">
        <x:v>9.5</x:v>
      </x:c>
      <x:c s="15" r="Z99" t="n">
        <x:v>8.4</x:v>
      </x:c>
      <x:c s="15" r="AA99" t="n">
        <x:v>7.3</x:v>
      </x:c>
      <x:c s="15" r="AB99" t="n">
        <x:v>6.2</x:v>
      </x:c>
    </x:row>
    <x:row r="100">
      <x:c r="A100" t="inlineStr">
        <x:is>
          <x:t xml:space="preserve">Meta / Llama</x:t>
        </x:is>
      </x:c>
      <x:c s="14" r="B100" t="inlineStr">
        <x:is>
          <x:t xml:space="preserve">meta-llama/Llama-2-7b-hf</x:t>
        </x:is>
      </x:c>
      <x:c s="14" r="C100" t="inlineStr">
        <x:is>
          <x:t xml:space="preserve">Llama 2 7B</x:t>
        </x:is>
      </x:c>
      <x:c s="15" r="D100" t="n">
        <x:v>7</x:v>
      </x:c>
      <x:c s="15" r="E100"/>
      <x:c s="14" r="F100" t="inlineStr">
        <x:is>
          <x:t xml:space="preserve">general</x:t>
        </x:is>
      </x:c>
      <x:c s="14" r="G100" t="inlineStr">
        <x:is>
          <x:t xml:space="preserve">text</x:t>
        </x:is>
      </x:c>
      <x:c r="H100" t="inlineStr">
        <x:is>
          <x:t xml:space="preserve">base</x:t>
        </x:is>
      </x:c>
      <x:c r="I100" t="inlineStr">
        <x:is>
          <x:t xml:space="preserve">Dense</x:t>
        </x:is>
      </x:c>
      <x:c s="16" r="J100" t="inlineStr">
        <x:is>
          <x:t xml:space="preserve">gated</x:t>
        </x:is>
      </x:c>
      <x:c s="17" r="K100" t="inlineStr">
        <x:is>
          <x:t xml:space="preserve">https://huggingface.co/meta-llama/Llama-2-7b-hf</x:t>
        </x:is>
      </x:c>
      <x:c s="17" r="L100" t="inlineStr">
        <x:is>
          <x:t xml:space="preserve"/>
        </x:is>
      </x:c>
      <x:c s="14" r="M100" t="inlineStr">
        <x:is>
          <x:t xml:space="preserve">BF16/FP16</x:t>
        </x:is>
      </x:c>
      <x:c s="15" r="N100" t="n">
        <x:v>21.7</x:v>
      </x:c>
      <x:c s="14" r="O100" t="inlineStr">
        <x:is>
          <x:t xml:space="preserve">BF16/FP16</x:t>
        </x:is>
      </x:c>
      <x:c s="15" r="P100" t="n">
        <x:v>21.7</x:v>
      </x:c>
      <x:c s="14" r="Q100" t="inlineStr">
        <x:is>
          <x:t xml:space="preserve">Comfortable</x:t>
        </x:is>
      </x:c>
      <x:c s="18" r="R100" t="inlineStr">
        <x:is>
          <x:t xml:space="preserve">Legacy but still widely supported.</x:t>
        </x:is>
      </x:c>
      <x:c s="14" r="S100" t="inlineStr">
        <x:is>
          <x:t xml:space="preserve">stable_series_pattern</x:t>
        </x:is>
      </x:c>
      <x:c s="17" r="T100" t="inlineStr">
        <x:is>
          <x:t xml:space="preserve">https://huggingface.co/meta-llama</x:t>
        </x:is>
      </x:c>
      <x:c s="14" r="U100" t="inlineStr">
        <x:is>
          <x:t xml:space="preserve">Transformers; GGUF; GPTQ/AWQ</x:t>
        </x:is>
      </x:c>
      <x:c s="15" r="V100" t="n">
        <x:v>21.7</x:v>
      </x:c>
      <x:c s="15" r="W100" t="n">
        <x:v>12.9</x:v>
      </x:c>
      <x:c s="15" r="X100" t="n">
        <x:v>10.6</x:v>
      </x:c>
      <x:c s="15" r="Y100" t="n">
        <x:v>9.5</x:v>
      </x:c>
      <x:c s="15" r="Z100" t="n">
        <x:v>8.4</x:v>
      </x:c>
      <x:c s="15" r="AA100" t="n">
        <x:v>7.3</x:v>
      </x:c>
      <x:c s="15" r="AB100" t="n">
        <x:v>6.2</x:v>
      </x:c>
    </x:row>
    <x:row r="101">
      <x:c r="A101" t="inlineStr">
        <x:is>
          <x:t xml:space="preserve">Meta / Llama</x:t>
        </x:is>
      </x:c>
      <x:c s="14" r="B101" t="inlineStr">
        <x:is>
          <x:t xml:space="preserve">meta-llama/Llama-2-7b-chat-hf</x:t>
        </x:is>
      </x:c>
      <x:c s="14" r="C101" t="inlineStr">
        <x:is>
          <x:t xml:space="preserve">Llama 2 7B Chat</x:t>
        </x:is>
      </x:c>
      <x:c s="15" r="D101" t="n">
        <x:v>7</x:v>
      </x:c>
      <x:c s="15" r="E101"/>
      <x:c s="14" r="F101" t="inlineStr">
        <x:is>
          <x:t xml:space="preserve">general chat</x:t>
        </x:is>
      </x:c>
      <x:c s="14" r="G101" t="inlineStr">
        <x:is>
          <x:t xml:space="preserve">text</x:t>
        </x:is>
      </x:c>
      <x:c r="H101" t="inlineStr">
        <x:is>
          <x:t xml:space="preserve">chat</x:t>
        </x:is>
      </x:c>
      <x:c r="I101" t="inlineStr">
        <x:is>
          <x:t xml:space="preserve">Dense</x:t>
        </x:is>
      </x:c>
      <x:c s="16" r="J101" t="inlineStr">
        <x:is>
          <x:t xml:space="preserve">gated</x:t>
        </x:is>
      </x:c>
      <x:c s="17" r="K101" t="inlineStr">
        <x:is>
          <x:t xml:space="preserve">https://huggingface.co/meta-llama/Llama-2-7b-chat-hf</x:t>
        </x:is>
      </x:c>
      <x:c s="17" r="L101" t="inlineStr">
        <x:is>
          <x:t xml:space="preserve"/>
        </x:is>
      </x:c>
      <x:c s="14" r="M101" t="inlineStr">
        <x:is>
          <x:t xml:space="preserve">BF16/FP16</x:t>
        </x:is>
      </x:c>
      <x:c s="15" r="N101" t="n">
        <x:v>21.7</x:v>
      </x:c>
      <x:c s="14" r="O101" t="inlineStr">
        <x:is>
          <x:t xml:space="preserve">BF16/FP16</x:t>
        </x:is>
      </x:c>
      <x:c s="15" r="P101" t="n">
        <x:v>21.7</x:v>
      </x:c>
      <x:c s="14" r="Q101" t="inlineStr">
        <x:is>
          <x:t xml:space="preserve">Comfortable</x:t>
        </x:is>
      </x:c>
      <x:c s="18" r="R101" t="inlineStr">
        <x:is>
          <x:t xml:space="preserve">Legacy chat checkpoint.</x:t>
        </x:is>
      </x:c>
      <x:c s="14" r="S101" t="inlineStr">
        <x:is>
          <x:t xml:space="preserve">stable_series_pattern</x:t>
        </x:is>
      </x:c>
      <x:c s="17" r="T101" t="inlineStr">
        <x:is>
          <x:t xml:space="preserve">https://huggingface.co/meta-llama</x:t>
        </x:is>
      </x:c>
      <x:c s="14" r="U101" t="inlineStr">
        <x:is>
          <x:t xml:space="preserve">Transformers; GGUF; GPTQ/AWQ</x:t>
        </x:is>
      </x:c>
      <x:c s="15" r="V101" t="n">
        <x:v>21.7</x:v>
      </x:c>
      <x:c s="15" r="W101" t="n">
        <x:v>12.9</x:v>
      </x:c>
      <x:c s="15" r="X101" t="n">
        <x:v>10.6</x:v>
      </x:c>
      <x:c s="15" r="Y101" t="n">
        <x:v>9.5</x:v>
      </x:c>
      <x:c s="15" r="Z101" t="n">
        <x:v>8.4</x:v>
      </x:c>
      <x:c s="15" r="AA101" t="n">
        <x:v>7.3</x:v>
      </x:c>
      <x:c s="15" r="AB101" t="n">
        <x:v>6.2</x:v>
      </x:c>
    </x:row>
    <x:row r="102">
      <x:c r="A102" t="inlineStr">
        <x:is>
          <x:t xml:space="preserve">Meta / Llama</x:t>
        </x:is>
      </x:c>
      <x:c s="14" r="B102" t="inlineStr">
        <x:is>
          <x:t xml:space="preserve">meta-llama/Llama-3.2-3B</x:t>
        </x:is>
      </x:c>
      <x:c s="14" r="C102" t="inlineStr">
        <x:is>
          <x:t xml:space="preserve">Llama 3.2 3B</x:t>
        </x:is>
      </x:c>
      <x:c s="15" r="D102" t="n">
        <x:v>3</x:v>
      </x:c>
      <x:c s="15" r="E102"/>
      <x:c s="14" r="F102" t="inlineStr">
        <x:is>
          <x:t xml:space="preserve">general</x:t>
        </x:is>
      </x:c>
      <x:c s="14" r="G102" t="inlineStr">
        <x:is>
          <x:t xml:space="preserve">text</x:t>
        </x:is>
      </x:c>
      <x:c r="H102" t="inlineStr">
        <x:is>
          <x:t xml:space="preserve">base</x:t>
        </x:is>
      </x:c>
      <x:c r="I102" t="inlineStr">
        <x:is>
          <x:t xml:space="preserve">Dense</x:t>
        </x:is>
      </x:c>
      <x:c s="16" r="J102" t="inlineStr">
        <x:is>
          <x:t xml:space="preserve">gated</x:t>
        </x:is>
      </x:c>
      <x:c s="17" r="K102" t="inlineStr">
        <x:is>
          <x:t xml:space="preserve">https://huggingface.co/meta-llama/Llama-3.2-3B</x:t>
        </x:is>
      </x:c>
      <x:c s="17" r="L102" t="inlineStr">
        <x:is>
          <x:t xml:space="preserve"/>
        </x:is>
      </x:c>
      <x:c s="14" r="M102" t="inlineStr">
        <x:is>
          <x:t xml:space="preserve">BF16/FP16</x:t>
        </x:is>
      </x:c>
      <x:c s="15" r="N102" t="n">
        <x:v>11.6</x:v>
      </x:c>
      <x:c s="14" r="O102" t="inlineStr">
        <x:is>
          <x:t xml:space="preserve">BF16/FP16</x:t>
        </x:is>
      </x:c>
      <x:c s="15" r="P102" t="n">
        <x:v>11.6</x:v>
      </x:c>
      <x:c s="14" r="Q102" t="inlineStr">
        <x:is>
          <x:t xml:space="preserve">Comfortable</x:t>
        </x:is>
      </x:c>
      <x:c s="18" r="R102" t="inlineStr">
        <x:is>
          <x:t xml:space="preserve">Small text-only base model.</x:t>
        </x:is>
      </x:c>
      <x:c s="14" r="S102" t="inlineStr">
        <x:is>
          <x:t xml:space="preserve">current_org_page_2026-03-27</x:t>
        </x:is>
      </x:c>
      <x:c s="17" r="T102" t="inlineStr">
        <x:is>
          <x:t xml:space="preserve">https://huggingface.co/meta-llama</x:t>
        </x:is>
      </x:c>
      <x:c s="14" r="U102" t="inlineStr">
        <x:is>
          <x:t xml:space="preserve">Transformers; GGUF; GPTQ/AWQ</x:t>
        </x:is>
      </x:c>
      <x:c s="15" r="V102" t="n">
        <x:v>11.6</x:v>
      </x:c>
      <x:c s="15" r="W102" t="n">
        <x:v>7.8</x:v>
      </x:c>
      <x:c s="15" r="X102" t="n">
        <x:v>6.8</x:v>
      </x:c>
      <x:c s="15" r="Y102" t="n">
        <x:v>6.4</x:v>
      </x:c>
      <x:c s="15" r="Z102" t="n">
        <x:v>5.9</x:v>
      </x:c>
      <x:c s="15" r="AA102" t="n">
        <x:v>5.4</x:v>
      </x:c>
      <x:c s="15" r="AB102" t="n">
        <x:v>4.9</x:v>
      </x:c>
    </x:row>
    <x:row r="103">
      <x:c r="A103" t="inlineStr">
        <x:is>
          <x:t xml:space="preserve">Meta / Llama</x:t>
        </x:is>
      </x:c>
      <x:c s="14" r="B103" t="inlineStr">
        <x:is>
          <x:t xml:space="preserve">meta-llama/Llama-3.2-3B-Instruct</x:t>
        </x:is>
      </x:c>
      <x:c s="14" r="C103" t="inlineStr">
        <x:is>
          <x:t xml:space="preserve">Llama 3.2 3B Instruct</x:t>
        </x:is>
      </x:c>
      <x:c s="15" r="D103" t="n">
        <x:v>3</x:v>
      </x:c>
      <x:c s="15" r="E103"/>
      <x:c s="14" r="F103" t="inlineStr">
        <x:is>
          <x:t xml:space="preserve">general chat</x:t>
        </x:is>
      </x:c>
      <x:c s="14" r="G103" t="inlineStr">
        <x:is>
          <x:t xml:space="preserve">text</x:t>
        </x:is>
      </x:c>
      <x:c r="H103" t="inlineStr">
        <x:is>
          <x:t xml:space="preserve">instruct</x:t>
        </x:is>
      </x:c>
      <x:c r="I103" t="inlineStr">
        <x:is>
          <x:t xml:space="preserve">Dense</x:t>
        </x:is>
      </x:c>
      <x:c s="16" r="J103" t="inlineStr">
        <x:is>
          <x:t xml:space="preserve">gated</x:t>
        </x:is>
      </x:c>
      <x:c s="17" r="K103" t="inlineStr">
        <x:is>
          <x:t xml:space="preserve">https://huggingface.co/meta-llama/Llama-3.2-3B-Instruct</x:t>
        </x:is>
      </x:c>
      <x:c s="17" r="L103" t="inlineStr">
        <x:is>
          <x:t xml:space="preserve">https://huggingface.co/meta-llama/Llama-3.2-3B-Instruct-SpinQuant_INT4_EO8</x:t>
        </x:is>
      </x:c>
      <x:c s="14" r="M103" t="inlineStr">
        <x:is>
          <x:t xml:space="preserve">BF16/FP16</x:t>
        </x:is>
      </x:c>
      <x:c s="15" r="N103" t="n">
        <x:v>11.6</x:v>
      </x:c>
      <x:c s="14" r="O103" t="inlineStr">
        <x:is>
          <x:t xml:space="preserve">BF16/FP16</x:t>
        </x:is>
      </x:c>
      <x:c s="15" r="P103" t="n">
        <x:v>11.6</x:v>
      </x:c>
      <x:c s="14" r="Q103" t="inlineStr">
        <x:is>
          <x:t xml:space="preserve">Comfortable</x:t>
        </x:is>
      </x:c>
      <x:c s="18" r="R103" t="inlineStr">
        <x:is>
          <x:t xml:space="preserve">Official INT4 SpinQuant repo available.</x:t>
        </x:is>
      </x:c>
      <x:c s="14" r="S103" t="inlineStr">
        <x:is>
          <x:t xml:space="preserve">current_org_page_2026-03-27</x:t>
        </x:is>
      </x:c>
      <x:c s="17" r="T103" t="inlineStr">
        <x:is>
          <x:t xml:space="preserve">https://huggingface.co/meta-llama</x:t>
        </x:is>
      </x:c>
      <x:c s="14" r="U103" t="inlineStr">
        <x:is>
          <x:t xml:space="preserve">Transformers; GGUF; GPTQ/AWQ</x:t>
        </x:is>
      </x:c>
      <x:c s="15" r="V103" t="n">
        <x:v>11.6</x:v>
      </x:c>
      <x:c s="15" r="W103" t="n">
        <x:v>7.8</x:v>
      </x:c>
      <x:c s="15" r="X103" t="n">
        <x:v>6.8</x:v>
      </x:c>
      <x:c s="15" r="Y103" t="n">
        <x:v>6.4</x:v>
      </x:c>
      <x:c s="15" r="Z103" t="n">
        <x:v>5.9</x:v>
      </x:c>
      <x:c s="15" r="AA103" t="n">
        <x:v>5.4</x:v>
      </x:c>
      <x:c s="15" r="AB103" t="n">
        <x:v>4.9</x:v>
      </x:c>
    </x:row>
    <x:row r="104">
      <x:c r="A104" t="inlineStr">
        <x:is>
          <x:t xml:space="preserve">Meta / Llama</x:t>
        </x:is>
      </x:c>
      <x:c s="14" r="B104" t="inlineStr">
        <x:is>
          <x:t xml:space="preserve">meta-llama/Llama-3.2-1B</x:t>
        </x:is>
      </x:c>
      <x:c s="14" r="C104" t="inlineStr">
        <x:is>
          <x:t xml:space="preserve">Llama 3.2 1B</x:t>
        </x:is>
      </x:c>
      <x:c s="15" r="D104" t="n">
        <x:v>1</x:v>
      </x:c>
      <x:c s="15" r="E104"/>
      <x:c s="14" r="F104" t="inlineStr">
        <x:is>
          <x:t xml:space="preserve">general</x:t>
        </x:is>
      </x:c>
      <x:c s="14" r="G104" t="inlineStr">
        <x:is>
          <x:t xml:space="preserve">text</x:t>
        </x:is>
      </x:c>
      <x:c r="H104" t="inlineStr">
        <x:is>
          <x:t xml:space="preserve">base</x:t>
        </x:is>
      </x:c>
      <x:c r="I104" t="inlineStr">
        <x:is>
          <x:t xml:space="preserve">Dense</x:t>
        </x:is>
      </x:c>
      <x:c s="16" r="J104" t="inlineStr">
        <x:is>
          <x:t xml:space="preserve">gated</x:t>
        </x:is>
      </x:c>
      <x:c s="17" r="K104" t="inlineStr">
        <x:is>
          <x:t xml:space="preserve">https://huggingface.co/meta-llama/Llama-3.2-1B</x:t>
        </x:is>
      </x:c>
      <x:c s="17" r="L104" t="inlineStr">
        <x:is>
          <x:t xml:space="preserve"/>
        </x:is>
      </x:c>
      <x:c s="14" r="M104" t="inlineStr">
        <x:is>
          <x:t xml:space="preserve">BF16/FP16</x:t>
        </x:is>
      </x:c>
      <x:c s="15" r="N104" t="n">
        <x:v>6.5</x:v>
      </x:c>
      <x:c s="14" r="O104" t="inlineStr">
        <x:is>
          <x:t xml:space="preserve">BF16/FP16</x:t>
        </x:is>
      </x:c>
      <x:c s="15" r="P104" t="n">
        <x:v>6.5</x:v>
      </x:c>
      <x:c s="14" r="Q104" t="inlineStr">
        <x:is>
          <x:t xml:space="preserve">Comfortable</x:t>
        </x:is>
      </x:c>
      <x:c s="18" r="R104" t="inlineStr">
        <x:is>
          <x:t xml:space="preserve">Small text-only base model.</x:t>
        </x:is>
      </x:c>
      <x:c s="14" r="S104" t="inlineStr">
        <x:is>
          <x:t xml:space="preserve">current_org_page_2026-03-27</x:t>
        </x:is>
      </x:c>
      <x:c s="17" r="T104" t="inlineStr">
        <x:is>
          <x:t xml:space="preserve">https://huggingface.co/meta-llama</x:t>
        </x:is>
      </x:c>
      <x:c s="14" r="U104" t="inlineStr">
        <x:is>
          <x:t xml:space="preserve">Transformers; GGUF; GPTQ/AWQ</x:t>
        </x:is>
      </x:c>
      <x:c s="15" r="V104" t="n">
        <x:v>6.5</x:v>
      </x:c>
      <x:c s="15" r="W104" t="n">
        <x:v>5.3</x:v>
      </x:c>
      <x:c s="15" r="X104" t="n">
        <x:v>4.9</x:v>
      </x:c>
      <x:c s="15" r="Y104" t="n">
        <x:v>4.8</x:v>
      </x:c>
      <x:c s="15" r="Z104" t="n">
        <x:v>4.6</x:v>
      </x:c>
      <x:c s="15" r="AA104" t="n">
        <x:v>4.5</x:v>
      </x:c>
      <x:c s="15" r="AB104" t="n">
        <x:v>4.3</x:v>
      </x:c>
    </x:row>
    <x:row r="105">
      <x:c r="A105" t="inlineStr">
        <x:is>
          <x:t xml:space="preserve">Meta / Llama</x:t>
        </x:is>
      </x:c>
      <x:c s="14" r="B105" t="inlineStr">
        <x:is>
          <x:t xml:space="preserve">meta-llama/Llama-3.2-1B-Instruct</x:t>
        </x:is>
      </x:c>
      <x:c s="14" r="C105" t="inlineStr">
        <x:is>
          <x:t xml:space="preserve">Llama 3.2 1B Instruct</x:t>
        </x:is>
      </x:c>
      <x:c s="15" r="D105" t="n">
        <x:v>1</x:v>
      </x:c>
      <x:c s="15" r="E105"/>
      <x:c s="14" r="F105" t="inlineStr">
        <x:is>
          <x:t xml:space="preserve">general chat</x:t>
        </x:is>
      </x:c>
      <x:c s="14" r="G105" t="inlineStr">
        <x:is>
          <x:t xml:space="preserve">text</x:t>
        </x:is>
      </x:c>
      <x:c r="H105" t="inlineStr">
        <x:is>
          <x:t xml:space="preserve">instruct</x:t>
        </x:is>
      </x:c>
      <x:c r="I105" t="inlineStr">
        <x:is>
          <x:t xml:space="preserve">Dense</x:t>
        </x:is>
      </x:c>
      <x:c s="16" r="J105" t="inlineStr">
        <x:is>
          <x:t xml:space="preserve">gated</x:t>
        </x:is>
      </x:c>
      <x:c s="17" r="K105" t="inlineStr">
        <x:is>
          <x:t xml:space="preserve">https://huggingface.co/meta-llama/Llama-3.2-1B-Instruct</x:t>
        </x:is>
      </x:c>
      <x:c s="17" r="L105" t="inlineStr">
        <x:is>
          <x:t xml:space="preserve">https://huggingface.co/meta-llama/Llama-3.2-1B-Instruct-SpinQuant_INT4_EO8</x:t>
        </x:is>
      </x:c>
      <x:c s="14" r="M105" t="inlineStr">
        <x:is>
          <x:t xml:space="preserve">BF16/FP16</x:t>
        </x:is>
      </x:c>
      <x:c s="15" r="N105" t="n">
        <x:v>6.5</x:v>
      </x:c>
      <x:c s="14" r="O105" t="inlineStr">
        <x:is>
          <x:t xml:space="preserve">BF16/FP16</x:t>
        </x:is>
      </x:c>
      <x:c s="15" r="P105" t="n">
        <x:v>6.5</x:v>
      </x:c>
      <x:c s="14" r="Q105" t="inlineStr">
        <x:is>
          <x:t xml:space="preserve">Comfortable</x:t>
        </x:is>
      </x:c>
      <x:c s="18" r="R105" t="inlineStr">
        <x:is>
          <x:t xml:space="preserve">Official INT4 SpinQuant repo available.</x:t>
        </x:is>
      </x:c>
      <x:c s="14" r="S105" t="inlineStr">
        <x:is>
          <x:t xml:space="preserve">current_org_page_2026-03-27</x:t>
        </x:is>
      </x:c>
      <x:c s="17" r="T105" t="inlineStr">
        <x:is>
          <x:t xml:space="preserve">https://huggingface.co/meta-llama</x:t>
        </x:is>
      </x:c>
      <x:c s="14" r="U105" t="inlineStr">
        <x:is>
          <x:t xml:space="preserve">Transformers; GGUF; GPTQ/AWQ</x:t>
        </x:is>
      </x:c>
      <x:c s="15" r="V105" t="n">
        <x:v>6.5</x:v>
      </x:c>
      <x:c s="15" r="W105" t="n">
        <x:v>5.3</x:v>
      </x:c>
      <x:c s="15" r="X105" t="n">
        <x:v>4.9</x:v>
      </x:c>
      <x:c s="15" r="Y105" t="n">
        <x:v>4.8</x:v>
      </x:c>
      <x:c s="15" r="Z105" t="n">
        <x:v>4.6</x:v>
      </x:c>
      <x:c s="15" r="AA105" t="n">
        <x:v>4.5</x:v>
      </x:c>
      <x:c s="15" r="AB105" t="n">
        <x:v>4.3</x:v>
      </x:c>
    </x:row>
    <x:row r="106">
      <x:c r="A106" t="inlineStr">
        <x:is>
          <x:t xml:space="preserve">Microsoft Phi</x:t>
        </x:is>
      </x:c>
      <x:c s="14" r="B106" t="inlineStr">
        <x:is>
          <x:t xml:space="preserve">microsoft/Phi-3.5-MoE-instruct</x:t>
        </x:is>
      </x:c>
      <x:c s="14" r="C106" t="inlineStr">
        <x:is>
          <x:t xml:space="preserve">Phi-3.5-MoE-instruct</x:t>
        </x:is>
      </x:c>
      <x:c s="15" r="D106" t="n">
        <x:v>42</x:v>
      </x:c>
      <x:c s="15" r="E106" t="n">
        <x:v>6.6</x:v>
      </x:c>
      <x:c s="14" r="F106" t="inlineStr">
        <x:is>
          <x:t xml:space="preserve">general chat</x:t>
        </x:is>
      </x:c>
      <x:c s="14" r="G106" t="inlineStr">
        <x:is>
          <x:t xml:space="preserve">text</x:t>
        </x:is>
      </x:c>
      <x:c r="H106" t="inlineStr">
        <x:is>
          <x:t xml:space="preserve">instruct</x:t>
        </x:is>
      </x:c>
      <x:c r="I106" t="inlineStr">
        <x:is>
          <x:t xml:space="preserve">MoE</x:t>
        </x:is>
      </x:c>
      <x:c s="16" r="J106" t="inlineStr">
        <x:is>
          <x:t xml:space="preserve">open</x:t>
        </x:is>
      </x:c>
      <x:c s="17" r="K106" t="inlineStr">
        <x:is>
          <x:t xml:space="preserve">https://huggingface.co/microsoft/Phi-3.5-MoE-instruct</x:t>
        </x:is>
      </x:c>
      <x:c s="17" r="L106" t="inlineStr">
        <x:is>
          <x:t xml:space="preserve"/>
        </x:is>
      </x:c>
      <x:c s="14" r="M106" t="inlineStr">
        <x:is>
          <x:t xml:space="preserve">FP8/Q8_0/INT8</x:t>
        </x:is>
      </x:c>
      <x:c s="15" r="N106" t="n">
        <x:v>59.4</x:v>
      </x:c>
      <x:c s="14" r="O106" t="inlineStr">
        <x:is>
          <x:t xml:space="preserve">FP8/Q8_0/INT8</x:t>
        </x:is>
      </x:c>
      <x:c s="15" r="P106" t="n">
        <x:v>59.4</x:v>
      </x:c>
      <x:c s="14" r="Q106" t="inlineStr">
        <x:is>
          <x:t xml:space="preserve">Comfortable</x:t>
        </x:is>
      </x:c>
      <x:c s="18" r="R106" t="inlineStr">
        <x:is>
          <x:t xml:space="preserve">MoE Phi 3.5 model.</x:t>
        </x:is>
      </x:c>
      <x:c s="14" r="S106" t="inlineStr">
        <x:is>
          <x:t xml:space="preserve">current_repo_page_2026-03-27</x:t>
        </x:is>
      </x:c>
      <x:c s="17" r="T106" t="inlineStr">
        <x:is>
          <x:t xml:space="preserve">https://huggingface.co/microsoft</x:t>
        </x:is>
      </x:c>
      <x:c s="14" r="U106" t="inlineStr">
        <x:is>
          <x:t xml:space="preserve">Transformers; ONNX; community GGUF</x:t>
        </x:is>
      </x:c>
      <x:c s="15" r="V106" t="n">
        <x:v>114.9</x:v>
      </x:c>
      <x:c s="15" r="W106" t="n">
        <x:v>59.4</x:v>
      </x:c>
      <x:c s="15" r="X106" t="n">
        <x:v>45.6</x:v>
      </x:c>
      <x:c s="15" r="Y106" t="n">
        <x:v>38.7</x:v>
      </x:c>
      <x:c s="15" r="Z106" t="n">
        <x:v>31.7</x:v>
      </x:c>
      <x:c s="15" r="AA106" t="n">
        <x:v>24.8</x:v>
      </x:c>
      <x:c s="15" r="AB106" t="n">
        <x:v>17.9</x:v>
      </x:c>
    </x:row>
    <x:row r="107">
      <x:c r="A107" t="inlineStr">
        <x:is>
          <x:t xml:space="preserve">Microsoft Phi</x:t>
        </x:is>
      </x:c>
      <x:c s="14" r="B107" t="inlineStr">
        <x:is>
          <x:t xml:space="preserve">microsoft/Phi-4-reasoning-vision-15B</x:t>
        </x:is>
      </x:c>
      <x:c s="14" r="C107" t="inlineStr">
        <x:is>
          <x:t xml:space="preserve">Phi-4-reasoning-vision-15B</x:t>
        </x:is>
      </x:c>
      <x:c s="15" r="D107" t="n">
        <x:v>15</x:v>
      </x:c>
      <x:c s="15" r="E107"/>
      <x:c s="14" r="F107" t="inlineStr">
        <x:is>
          <x:t xml:space="preserve">multimodal reasoning</x:t>
        </x:is>
      </x:c>
      <x:c s="14" r="G107" t="inlineStr">
        <x:is>
          <x:t xml:space="preserve">text+vision</x:t>
        </x:is>
      </x:c>
      <x:c r="H107" t="inlineStr">
        <x:is>
          <x:t xml:space="preserve">reasoning</x:t>
        </x:is>
      </x:c>
      <x:c r="I107" t="inlineStr">
        <x:is>
          <x:t xml:space="preserve">Dense</x:t>
        </x:is>
      </x:c>
      <x:c s="16" r="J107" t="inlineStr">
        <x:is>
          <x:t xml:space="preserve">open</x:t>
        </x:is>
      </x:c>
      <x:c s="17" r="K107" t="inlineStr">
        <x:is>
          <x:t xml:space="preserve">https://huggingface.co/microsoft/Phi-4-reasoning-vision-15B</x:t>
        </x:is>
      </x:c>
      <x:c s="17" r="L107" t="inlineStr">
        <x:is>
          <x:t xml:space="preserve"/>
        </x:is>
      </x:c>
      <x:c s="14" r="M107" t="inlineStr">
        <x:is>
          <x:t xml:space="preserve">BF16/FP16</x:t>
        </x:is>
      </x:c>
      <x:c s="15" r="N107" t="n">
        <x:v>42</x:v>
      </x:c>
      <x:c s="14" r="O107" t="inlineStr">
        <x:is>
          <x:t xml:space="preserve">BF16/FP16</x:t>
        </x:is>
      </x:c>
      <x:c s="15" r="P107" t="n">
        <x:v>42</x:v>
      </x:c>
      <x:c s="14" r="Q107" t="inlineStr">
        <x:is>
          <x:t xml:space="preserve">Comfortable</x:t>
        </x:is>
      </x:c>
      <x:c s="18" r="R107" t="inlineStr">
        <x:is>
          <x:t xml:space="preserve">15B vision reasoning model.</x:t>
        </x:is>
      </x:c>
      <x:c s="14" r="S107" t="inlineStr">
        <x:is>
          <x:t xml:space="preserve">current_repo_page_2026-03-27</x:t>
        </x:is>
      </x:c>
      <x:c s="17" r="T107" t="inlineStr">
        <x:is>
          <x:t xml:space="preserve">https://huggingface.co/microsoft</x:t>
        </x:is>
      </x:c>
      <x:c s="14" r="U107" t="inlineStr">
        <x:is>
          <x:t xml:space="preserve">Transformers; ONNX; community GGUF</x:t>
        </x:is>
      </x:c>
      <x:c s="15" r="V107" t="n">
        <x:v>42</x:v>
      </x:c>
      <x:c s="15" r="W107" t="n">
        <x:v>23</x:v>
      </x:c>
      <x:c s="15" r="X107" t="n">
        <x:v>18.2</x:v>
      </x:c>
      <x:c s="15" r="Y107" t="n">
        <x:v>15.9</x:v>
      </x:c>
      <x:c s="15" r="Z107" t="n">
        <x:v>13.5</x:v>
      </x:c>
      <x:c s="15" r="AA107" t="n">
        <x:v>11.1</x:v>
      </x:c>
      <x:c s="15" r="AB107" t="n">
        <x:v>8.7</x:v>
      </x:c>
    </x:row>
    <x:row r="108">
      <x:c r="A108" t="inlineStr">
        <x:is>
          <x:t xml:space="preserve">Microsoft Phi</x:t>
        </x:is>
      </x:c>
      <x:c s="14" r="B108" t="inlineStr">
        <x:is>
          <x:t xml:space="preserve">microsoft/Phi-3-medium-128k-instruct</x:t>
        </x:is>
      </x:c>
      <x:c s="14" r="C108" t="inlineStr">
        <x:is>
          <x:t xml:space="preserve">Phi-3-medium-128k-instruct</x:t>
        </x:is>
      </x:c>
      <x:c s="15" r="D108" t="n">
        <x:v>14</x:v>
      </x:c>
      <x:c s="15" r="E108"/>
      <x:c s="14" r="F108" t="inlineStr">
        <x:is>
          <x:t xml:space="preserve">general chat</x:t>
        </x:is>
      </x:c>
      <x:c s="14" r="G108" t="inlineStr">
        <x:is>
          <x:t xml:space="preserve">text</x:t>
        </x:is>
      </x:c>
      <x:c r="H108" t="inlineStr">
        <x:is>
          <x:t xml:space="preserve">instruct</x:t>
        </x:is>
      </x:c>
      <x:c r="I108" t="inlineStr">
        <x:is>
          <x:t xml:space="preserve">Dense</x:t>
        </x:is>
      </x:c>
      <x:c s="16" r="J108" t="inlineStr">
        <x:is>
          <x:t xml:space="preserve">open</x:t>
        </x:is>
      </x:c>
      <x:c s="17" r="K108" t="inlineStr">
        <x:is>
          <x:t xml:space="preserve">https://huggingface.co/microsoft/Phi-3-medium-128k-instruct</x:t>
        </x:is>
      </x:c>
      <x:c s="17" r="L108" t="inlineStr">
        <x:is>
          <x:t xml:space="preserve"/>
        </x:is>
      </x:c>
      <x:c s="14" r="M108" t="inlineStr">
        <x:is>
          <x:t xml:space="preserve">BF16/FP16</x:t>
        </x:is>
      </x:c>
      <x:c s="15" r="N108" t="n">
        <x:v>39.4</x:v>
      </x:c>
      <x:c s="14" r="O108" t="inlineStr">
        <x:is>
          <x:t xml:space="preserve">BF16/FP16</x:t>
        </x:is>
      </x:c>
      <x:c s="15" r="P108" t="n">
        <x:v>39.4</x:v>
      </x:c>
      <x:c s="14" r="Q108" t="inlineStr">
        <x:is>
          <x:t xml:space="preserve">Comfortable</x:t>
        </x:is>
      </x:c>
      <x:c s="18" r="R108" t="inlineStr">
        <x:is>
          <x:t xml:space="preserve">Phi-3 medium long-context.</x:t>
        </x:is>
      </x:c>
      <x:c s="14" r="S108" t="inlineStr">
        <x:is>
          <x:t xml:space="preserve">stable_series_pattern</x:t>
        </x:is>
      </x:c>
      <x:c s="17" r="T108" t="inlineStr">
        <x:is>
          <x:t xml:space="preserve">https://huggingface.co/microsoft</x:t>
        </x:is>
      </x:c>
      <x:c s="14" r="U108" t="inlineStr">
        <x:is>
          <x:t xml:space="preserve">Transformers; ONNX; community GGUF</x:t>
        </x:is>
      </x:c>
      <x:c s="15" r="V108" t="n">
        <x:v>39.4</x:v>
      </x:c>
      <x:c s="15" r="W108" t="n">
        <x:v>21.7</x:v>
      </x:c>
      <x:c s="15" r="X108" t="n">
        <x:v>17.3</x:v>
      </x:c>
      <x:c s="15" r="Y108" t="n">
        <x:v>15.1</x:v>
      </x:c>
      <x:c s="15" r="Z108" t="n">
        <x:v>12.9</x:v>
      </x:c>
      <x:c s="15" r="AA108" t="n">
        <x:v>10.6</x:v>
      </x:c>
      <x:c s="15" r="AB108" t="n">
        <x:v>8.4</x:v>
      </x:c>
    </x:row>
    <x:row r="109">
      <x:c r="A109" t="inlineStr">
        <x:is>
          <x:t xml:space="preserve">Microsoft Phi</x:t>
        </x:is>
      </x:c>
      <x:c s="14" r="B109" t="inlineStr">
        <x:is>
          <x:t xml:space="preserve">microsoft/Phi-3-medium-4k-instruct</x:t>
        </x:is>
      </x:c>
      <x:c s="14" r="C109" t="inlineStr">
        <x:is>
          <x:t xml:space="preserve">Phi-3-medium-4k-instruct</x:t>
        </x:is>
      </x:c>
      <x:c s="15" r="D109" t="n">
        <x:v>14</x:v>
      </x:c>
      <x:c s="15" r="E109"/>
      <x:c s="14" r="F109" t="inlineStr">
        <x:is>
          <x:t xml:space="preserve">general chat</x:t>
        </x:is>
      </x:c>
      <x:c s="14" r="G109" t="inlineStr">
        <x:is>
          <x:t xml:space="preserve">text</x:t>
        </x:is>
      </x:c>
      <x:c r="H109" t="inlineStr">
        <x:is>
          <x:t xml:space="preserve">instruct</x:t>
        </x:is>
      </x:c>
      <x:c r="I109" t="inlineStr">
        <x:is>
          <x:t xml:space="preserve">Dense</x:t>
        </x:is>
      </x:c>
      <x:c s="16" r="J109" t="inlineStr">
        <x:is>
          <x:t xml:space="preserve">open</x:t>
        </x:is>
      </x:c>
      <x:c s="17" r="K109" t="inlineStr">
        <x:is>
          <x:t xml:space="preserve">https://huggingface.co/microsoft/Phi-3-medium-4k-instruct</x:t>
        </x:is>
      </x:c>
      <x:c s="17" r="L109" t="inlineStr">
        <x:is>
          <x:t xml:space="preserve"/>
        </x:is>
      </x:c>
      <x:c s="14" r="M109" t="inlineStr">
        <x:is>
          <x:t xml:space="preserve">BF16/FP16</x:t>
        </x:is>
      </x:c>
      <x:c s="15" r="N109" t="n">
        <x:v>39.4</x:v>
      </x:c>
      <x:c s="14" r="O109" t="inlineStr">
        <x:is>
          <x:t xml:space="preserve">BF16/FP16</x:t>
        </x:is>
      </x:c>
      <x:c s="15" r="P109" t="n">
        <x:v>39.4</x:v>
      </x:c>
      <x:c s="14" r="Q109" t="inlineStr">
        <x:is>
          <x:t xml:space="preserve">Comfortable</x:t>
        </x:is>
      </x:c>
      <x:c s="18" r="R109" t="inlineStr">
        <x:is>
          <x:t xml:space="preserve">Phi-3 medium 4K context.</x:t>
        </x:is>
      </x:c>
      <x:c s="14" r="S109" t="inlineStr">
        <x:is>
          <x:t xml:space="preserve">stable_series_pattern</x:t>
        </x:is>
      </x:c>
      <x:c s="17" r="T109" t="inlineStr">
        <x:is>
          <x:t xml:space="preserve">https://huggingface.co/microsoft</x:t>
        </x:is>
      </x:c>
      <x:c s="14" r="U109" t="inlineStr">
        <x:is>
          <x:t xml:space="preserve">Transformers; ONNX; community GGUF</x:t>
        </x:is>
      </x:c>
      <x:c s="15" r="V109" t="n">
        <x:v>39.4</x:v>
      </x:c>
      <x:c s="15" r="W109" t="n">
        <x:v>21.7</x:v>
      </x:c>
      <x:c s="15" r="X109" t="n">
        <x:v>17.3</x:v>
      </x:c>
      <x:c s="15" r="Y109" t="n">
        <x:v>15.1</x:v>
      </x:c>
      <x:c s="15" r="Z109" t="n">
        <x:v>12.9</x:v>
      </x:c>
      <x:c s="15" r="AA109" t="n">
        <x:v>10.6</x:v>
      </x:c>
      <x:c s="15" r="AB109" t="n">
        <x:v>8.4</x:v>
      </x:c>
    </x:row>
    <x:row r="110">
      <x:c r="A110" t="inlineStr">
        <x:is>
          <x:t xml:space="preserve">Microsoft Phi</x:t>
        </x:is>
      </x:c>
      <x:c s="14" r="B110" t="inlineStr">
        <x:is>
          <x:t xml:space="preserve">microsoft/Phi-4-reasoning</x:t>
        </x:is>
      </x:c>
      <x:c s="14" r="C110" t="inlineStr">
        <x:is>
          <x:t xml:space="preserve">Phi-4-reasoning</x:t>
        </x:is>
      </x:c>
      <x:c s="15" r="D110" t="n">
        <x:v>14</x:v>
      </x:c>
      <x:c s="15" r="E110"/>
      <x:c s="14" r="F110" t="inlineStr">
        <x:is>
          <x:t xml:space="preserve">reasoning</x:t>
        </x:is>
      </x:c>
      <x:c s="14" r="G110" t="inlineStr">
        <x:is>
          <x:t xml:space="preserve">text</x:t>
        </x:is>
      </x:c>
      <x:c r="H110" t="inlineStr">
        <x:is>
          <x:t xml:space="preserve">reasoning</x:t>
        </x:is>
      </x:c>
      <x:c r="I110" t="inlineStr">
        <x:is>
          <x:t xml:space="preserve">Dense</x:t>
        </x:is>
      </x:c>
      <x:c s="16" r="J110" t="inlineStr">
        <x:is>
          <x:t xml:space="preserve">open</x:t>
        </x:is>
      </x:c>
      <x:c s="17" r="K110" t="inlineStr">
        <x:is>
          <x:t xml:space="preserve">https://huggingface.co/microsoft/Phi-4-reasoning</x:t>
        </x:is>
      </x:c>
      <x:c s="17" r="L110" t="inlineStr">
        <x:is>
          <x:t xml:space="preserve">https://huggingface.co/microsoft/Phi-4-reasoning-onnx</x:t>
        </x:is>
      </x:c>
      <x:c s="14" r="M110" t="inlineStr">
        <x:is>
          <x:t xml:space="preserve">BF16/FP16</x:t>
        </x:is>
      </x:c>
      <x:c s="15" r="N110" t="n">
        <x:v>39.4</x:v>
      </x:c>
      <x:c s="14" r="O110" t="inlineStr">
        <x:is>
          <x:t xml:space="preserve">BF16/FP16</x:t>
        </x:is>
      </x:c>
      <x:c s="15" r="P110" t="n">
        <x:v>39.4</x:v>
      </x:c>
      <x:c s="14" r="Q110" t="inlineStr">
        <x:is>
          <x:t xml:space="preserve">Comfortable</x:t>
        </x:is>
      </x:c>
      <x:c s="18" r="R110" t="inlineStr">
        <x:is>
          <x:t xml:space="preserve">14B reasoning model.</x:t>
        </x:is>
      </x:c>
      <x:c s="14" r="S110" t="inlineStr">
        <x:is>
          <x:t xml:space="preserve">current_repo_page_2026-03-27</x:t>
        </x:is>
      </x:c>
      <x:c s="17" r="T110" t="inlineStr">
        <x:is>
          <x:t xml:space="preserve">https://huggingface.co/microsoft</x:t>
        </x:is>
      </x:c>
      <x:c s="14" r="U110" t="inlineStr">
        <x:is>
          <x:t xml:space="preserve">Transformers; ONNX; community GGUF</x:t>
        </x:is>
      </x:c>
      <x:c s="15" r="V110" t="n">
        <x:v>39.4</x:v>
      </x:c>
      <x:c s="15" r="W110" t="n">
        <x:v>21.7</x:v>
      </x:c>
      <x:c s="15" r="X110" t="n">
        <x:v>17.3</x:v>
      </x:c>
      <x:c s="15" r="Y110" t="n">
        <x:v>15.1</x:v>
      </x:c>
      <x:c s="15" r="Z110" t="n">
        <x:v>12.9</x:v>
      </x:c>
      <x:c s="15" r="AA110" t="n">
        <x:v>10.6</x:v>
      </x:c>
      <x:c s="15" r="AB110" t="n">
        <x:v>8.4</x:v>
      </x:c>
    </x:row>
    <x:row r="111">
      <x:c r="A111" t="inlineStr">
        <x:is>
          <x:t xml:space="preserve">Microsoft Phi</x:t>
        </x:is>
      </x:c>
      <x:c s="14" r="B111" t="inlineStr">
        <x:is>
          <x:t xml:space="preserve">microsoft/Phi-4-reasoning-plus</x:t>
        </x:is>
      </x:c>
      <x:c s="14" r="C111" t="inlineStr">
        <x:is>
          <x:t xml:space="preserve">Phi-4-reasoning-plus</x:t>
        </x:is>
      </x:c>
      <x:c s="15" r="D111" t="n">
        <x:v>14</x:v>
      </x:c>
      <x:c s="15" r="E111"/>
      <x:c s="14" r="F111" t="inlineStr">
        <x:is>
          <x:t xml:space="preserve">reasoning</x:t>
        </x:is>
      </x:c>
      <x:c s="14" r="G111" t="inlineStr">
        <x:is>
          <x:t xml:space="preserve">text</x:t>
        </x:is>
      </x:c>
      <x:c r="H111" t="inlineStr">
        <x:is>
          <x:t xml:space="preserve">reasoning</x:t>
        </x:is>
      </x:c>
      <x:c r="I111" t="inlineStr">
        <x:is>
          <x:t xml:space="preserve">Dense</x:t>
        </x:is>
      </x:c>
      <x:c s="16" r="J111" t="inlineStr">
        <x:is>
          <x:t xml:space="preserve">open</x:t>
        </x:is>
      </x:c>
      <x:c s="17" r="K111" t="inlineStr">
        <x:is>
          <x:t xml:space="preserve">https://huggingface.co/microsoft/Phi-4-reasoning-plus</x:t>
        </x:is>
      </x:c>
      <x:c s="17" r="L111" t="inlineStr">
        <x:is>
          <x:t xml:space="preserve">https://huggingface.co/microsoft/Phi-4-reasoning-plus-onnx</x:t>
        </x:is>
      </x:c>
      <x:c s="14" r="M111" t="inlineStr">
        <x:is>
          <x:t xml:space="preserve">BF16/FP16</x:t>
        </x:is>
      </x:c>
      <x:c s="15" r="N111" t="n">
        <x:v>39.4</x:v>
      </x:c>
      <x:c s="14" r="O111" t="inlineStr">
        <x:is>
          <x:t xml:space="preserve">BF16/FP16</x:t>
        </x:is>
      </x:c>
      <x:c s="15" r="P111" t="n">
        <x:v>39.4</x:v>
      </x:c>
      <x:c s="14" r="Q111" t="inlineStr">
        <x:is>
          <x:t xml:space="preserve">Comfortable</x:t>
        </x:is>
      </x:c>
      <x:c s="18" r="R111" t="inlineStr">
        <x:is>
          <x:t xml:space="preserve">Enhanced reasoning model.</x:t>
        </x:is>
      </x:c>
      <x:c s="14" r="S111" t="inlineStr">
        <x:is>
          <x:t xml:space="preserve">current_repo_page_2026-03-27</x:t>
        </x:is>
      </x:c>
      <x:c s="17" r="T111" t="inlineStr">
        <x:is>
          <x:t xml:space="preserve">https://huggingface.co/microsoft</x:t>
        </x:is>
      </x:c>
      <x:c s="14" r="U111" t="inlineStr">
        <x:is>
          <x:t xml:space="preserve">Transformers; ONNX; community GGUF</x:t>
        </x:is>
      </x:c>
      <x:c s="15" r="V111" t="n">
        <x:v>39.4</x:v>
      </x:c>
      <x:c s="15" r="W111" t="n">
        <x:v>21.7</x:v>
      </x:c>
      <x:c s="15" r="X111" t="n">
        <x:v>17.3</x:v>
      </x:c>
      <x:c s="15" r="Y111" t="n">
        <x:v>15.1</x:v>
      </x:c>
      <x:c s="15" r="Z111" t="n">
        <x:v>12.9</x:v>
      </x:c>
      <x:c s="15" r="AA111" t="n">
        <x:v>10.6</x:v>
      </x:c>
      <x:c s="15" r="AB111" t="n">
        <x:v>8.4</x:v>
      </x:c>
    </x:row>
    <x:row r="112">
      <x:c r="A112" t="inlineStr">
        <x:is>
          <x:t xml:space="preserve">Microsoft Phi</x:t>
        </x:is>
      </x:c>
      <x:c s="14" r="B112" t="inlineStr">
        <x:is>
          <x:t xml:space="preserve">microsoft/phi-4</x:t>
        </x:is>
      </x:c>
      <x:c s="14" r="C112" t="inlineStr">
        <x:is>
          <x:t xml:space="preserve">phi-4</x:t>
        </x:is>
      </x:c>
      <x:c s="15" r="D112" t="n">
        <x:v>14</x:v>
      </x:c>
      <x:c s="15" r="E112"/>
      <x:c s="14" r="F112" t="inlineStr">
        <x:is>
          <x:t xml:space="preserve">general chat</x:t>
        </x:is>
      </x:c>
      <x:c s="14" r="G112" t="inlineStr">
        <x:is>
          <x:t xml:space="preserve">text</x:t>
        </x:is>
      </x:c>
      <x:c r="H112" t="inlineStr">
        <x:is>
          <x:t xml:space="preserve">instruct</x:t>
        </x:is>
      </x:c>
      <x:c r="I112" t="inlineStr">
        <x:is>
          <x:t xml:space="preserve">Dense</x:t>
        </x:is>
      </x:c>
      <x:c s="16" r="J112" t="inlineStr">
        <x:is>
          <x:t xml:space="preserve">open</x:t>
        </x:is>
      </x:c>
      <x:c s="17" r="K112" t="inlineStr">
        <x:is>
          <x:t xml:space="preserve">https://huggingface.co/microsoft/phi-4</x:t>
        </x:is>
      </x:c>
      <x:c s="17" r="L112" t="inlineStr">
        <x:is>
          <x:t xml:space="preserve">https://huggingface.co/microsoft/phi-4-onnx</x:t>
        </x:is>
      </x:c>
      <x:c s="14" r="M112" t="inlineStr">
        <x:is>
          <x:t xml:space="preserve">BF16/FP16</x:t>
        </x:is>
      </x:c>
      <x:c s="15" r="N112" t="n">
        <x:v>39.4</x:v>
      </x:c>
      <x:c s="14" r="O112" t="inlineStr">
        <x:is>
          <x:t xml:space="preserve">BF16/FP16</x:t>
        </x:is>
      </x:c>
      <x:c s="15" r="P112" t="n">
        <x:v>39.4</x:v>
      </x:c>
      <x:c s="14" r="Q112" t="inlineStr">
        <x:is>
          <x:t xml:space="preserve">Comfortable</x:t>
        </x:is>
      </x:c>
      <x:c s="18" r="R112" t="inlineStr">
        <x:is>
          <x:t xml:space="preserve">General-purpose Phi 4 model.</x:t>
        </x:is>
      </x:c>
      <x:c s="14" r="S112" t="inlineStr">
        <x:is>
          <x:t xml:space="preserve">current_repo_page_2026-03-27</x:t>
        </x:is>
      </x:c>
      <x:c s="17" r="T112" t="inlineStr">
        <x:is>
          <x:t xml:space="preserve">https://huggingface.co/microsoft</x:t>
        </x:is>
      </x:c>
      <x:c s="14" r="U112" t="inlineStr">
        <x:is>
          <x:t xml:space="preserve">Transformers; ONNX; community GGUF</x:t>
        </x:is>
      </x:c>
      <x:c s="15" r="V112" t="n">
        <x:v>39.4</x:v>
      </x:c>
      <x:c s="15" r="W112" t="n">
        <x:v>21.7</x:v>
      </x:c>
      <x:c s="15" r="X112" t="n">
        <x:v>17.3</x:v>
      </x:c>
      <x:c s="15" r="Y112" t="n">
        <x:v>15.1</x:v>
      </x:c>
      <x:c s="15" r="Z112" t="n">
        <x:v>12.9</x:v>
      </x:c>
      <x:c s="15" r="AA112" t="n">
        <x:v>10.6</x:v>
      </x:c>
      <x:c s="15" r="AB112" t="n">
        <x:v>8.4</x:v>
      </x:c>
    </x:row>
    <x:row r="113">
      <x:c r="A113" t="inlineStr">
        <x:is>
          <x:t xml:space="preserve">Microsoft Phi</x:t>
        </x:is>
      </x:c>
      <x:c s="14" r="B113" t="inlineStr">
        <x:is>
          <x:t xml:space="preserve">microsoft/Phi-3-small-128k-instruct</x:t>
        </x:is>
      </x:c>
      <x:c s="14" r="C113" t="inlineStr">
        <x:is>
          <x:t xml:space="preserve">Phi-3-small-128k-instruct</x:t>
        </x:is>
      </x:c>
      <x:c s="15" r="D113" t="n">
        <x:v>7</x:v>
      </x:c>
      <x:c s="15" r="E113"/>
      <x:c s="14" r="F113" t="inlineStr">
        <x:is>
          <x:t xml:space="preserve">general chat</x:t>
        </x:is>
      </x:c>
      <x:c s="14" r="G113" t="inlineStr">
        <x:is>
          <x:t xml:space="preserve">text</x:t>
        </x:is>
      </x:c>
      <x:c r="H113" t="inlineStr">
        <x:is>
          <x:t xml:space="preserve">instruct</x:t>
        </x:is>
      </x:c>
      <x:c r="I113" t="inlineStr">
        <x:is>
          <x:t xml:space="preserve">Dense</x:t>
        </x:is>
      </x:c>
      <x:c s="16" r="J113" t="inlineStr">
        <x:is>
          <x:t xml:space="preserve">open</x:t>
        </x:is>
      </x:c>
      <x:c s="17" r="K113" t="inlineStr">
        <x:is>
          <x:t xml:space="preserve">https://huggingface.co/microsoft/Phi-3-small-128k-instruct</x:t>
        </x:is>
      </x:c>
      <x:c s="17" r="L113" t="inlineStr">
        <x:is>
          <x:t xml:space="preserve"/>
        </x:is>
      </x:c>
      <x:c s="14" r="M113" t="inlineStr">
        <x:is>
          <x:t xml:space="preserve">BF16/FP16</x:t>
        </x:is>
      </x:c>
      <x:c s="15" r="N113" t="n">
        <x:v>21.7</x:v>
      </x:c>
      <x:c s="14" r="O113" t="inlineStr">
        <x:is>
          <x:t xml:space="preserve">BF16/FP16</x:t>
        </x:is>
      </x:c>
      <x:c s="15" r="P113" t="n">
        <x:v>21.7</x:v>
      </x:c>
      <x:c s="14" r="Q113" t="inlineStr">
        <x:is>
          <x:t xml:space="preserve">Comfortable</x:t>
        </x:is>
      </x:c>
      <x:c s="18" r="R113" t="inlineStr">
        <x:is>
          <x:t xml:space="preserve">Phi-3 small long-context.</x:t>
        </x:is>
      </x:c>
      <x:c s="14" r="S113" t="inlineStr">
        <x:is>
          <x:t xml:space="preserve">stable_series_pattern</x:t>
        </x:is>
      </x:c>
      <x:c s="17" r="T113" t="inlineStr">
        <x:is>
          <x:t xml:space="preserve">https://huggingface.co/microsoft</x:t>
        </x:is>
      </x:c>
      <x:c s="14" r="U113" t="inlineStr">
        <x:is>
          <x:t xml:space="preserve">Transformers; ONNX; community GGUF</x:t>
        </x:is>
      </x:c>
      <x:c s="15" r="V113" t="n">
        <x:v>21.7</x:v>
      </x:c>
      <x:c s="15" r="W113" t="n">
        <x:v>12.9</x:v>
      </x:c>
      <x:c s="15" r="X113" t="n">
        <x:v>10.6</x:v>
      </x:c>
      <x:c s="15" r="Y113" t="n">
        <x:v>9.5</x:v>
      </x:c>
      <x:c s="15" r="Z113" t="n">
        <x:v>8.4</x:v>
      </x:c>
      <x:c s="15" r="AA113" t="n">
        <x:v>7.3</x:v>
      </x:c>
      <x:c s="15" r="AB113" t="n">
        <x:v>6.2</x:v>
      </x:c>
    </x:row>
    <x:row r="114">
      <x:c r="A114" t="inlineStr">
        <x:is>
          <x:t xml:space="preserve">Microsoft Phi</x:t>
        </x:is>
      </x:c>
      <x:c s="14" r="B114" t="inlineStr">
        <x:is>
          <x:t xml:space="preserve">microsoft/Phi-3-small-8k-instruct</x:t>
        </x:is>
      </x:c>
      <x:c s="14" r="C114" t="inlineStr">
        <x:is>
          <x:t xml:space="preserve">Phi-3-small-8k-instruct</x:t>
        </x:is>
      </x:c>
      <x:c s="15" r="D114" t="n">
        <x:v>7</x:v>
      </x:c>
      <x:c s="15" r="E114"/>
      <x:c s="14" r="F114" t="inlineStr">
        <x:is>
          <x:t xml:space="preserve">general chat</x:t>
        </x:is>
      </x:c>
      <x:c s="14" r="G114" t="inlineStr">
        <x:is>
          <x:t xml:space="preserve">text</x:t>
        </x:is>
      </x:c>
      <x:c r="H114" t="inlineStr">
        <x:is>
          <x:t xml:space="preserve">instruct</x:t>
        </x:is>
      </x:c>
      <x:c r="I114" t="inlineStr">
        <x:is>
          <x:t xml:space="preserve">Dense</x:t>
        </x:is>
      </x:c>
      <x:c s="16" r="J114" t="inlineStr">
        <x:is>
          <x:t xml:space="preserve">open</x:t>
        </x:is>
      </x:c>
      <x:c s="17" r="K114" t="inlineStr">
        <x:is>
          <x:t xml:space="preserve">https://huggingface.co/microsoft/Phi-3-small-8k-instruct</x:t>
        </x:is>
      </x:c>
      <x:c s="17" r="L114" t="inlineStr">
        <x:is>
          <x:t xml:space="preserve"/>
        </x:is>
      </x:c>
      <x:c s="14" r="M114" t="inlineStr">
        <x:is>
          <x:t xml:space="preserve">BF16/FP16</x:t>
        </x:is>
      </x:c>
      <x:c s="15" r="N114" t="n">
        <x:v>21.7</x:v>
      </x:c>
      <x:c s="14" r="O114" t="inlineStr">
        <x:is>
          <x:t xml:space="preserve">BF16/FP16</x:t>
        </x:is>
      </x:c>
      <x:c s="15" r="P114" t="n">
        <x:v>21.7</x:v>
      </x:c>
      <x:c s="14" r="Q114" t="inlineStr">
        <x:is>
          <x:t xml:space="preserve">Comfortable</x:t>
        </x:is>
      </x:c>
      <x:c s="18" r="R114" t="inlineStr">
        <x:is>
          <x:t xml:space="preserve">Phi-3 small 8K context.</x:t>
        </x:is>
      </x:c>
      <x:c s="14" r="S114" t="inlineStr">
        <x:is>
          <x:t xml:space="preserve">stable_series_pattern</x:t>
        </x:is>
      </x:c>
      <x:c s="17" r="T114" t="inlineStr">
        <x:is>
          <x:t xml:space="preserve">https://huggingface.co/microsoft</x:t>
        </x:is>
      </x:c>
      <x:c s="14" r="U114" t="inlineStr">
        <x:is>
          <x:t xml:space="preserve">Transformers; ONNX; community GGUF</x:t>
        </x:is>
      </x:c>
      <x:c s="15" r="V114" t="n">
        <x:v>21.7</x:v>
      </x:c>
      <x:c s="15" r="W114" t="n">
        <x:v>12.9</x:v>
      </x:c>
      <x:c s="15" r="X114" t="n">
        <x:v>10.6</x:v>
      </x:c>
      <x:c s="15" r="Y114" t="n">
        <x:v>9.5</x:v>
      </x:c>
      <x:c s="15" r="Z114" t="n">
        <x:v>8.4</x:v>
      </x:c>
      <x:c s="15" r="AA114" t="n">
        <x:v>7.3</x:v>
      </x:c>
      <x:c s="15" r="AB114" t="n">
        <x:v>6.2</x:v>
      </x:c>
    </x:row>
    <x:row r="115">
      <x:c r="A115" t="inlineStr">
        <x:is>
          <x:t xml:space="preserve">Microsoft Phi</x:t>
        </x:is>
      </x:c>
      <x:c s="14" r="B115" t="inlineStr">
        <x:is>
          <x:t xml:space="preserve">microsoft/Phi-4-multimodal-instruct</x:t>
        </x:is>
      </x:c>
      <x:c s="14" r="C115" t="inlineStr">
        <x:is>
          <x:t xml:space="preserve">Phi-4-multimodal-instruct</x:t>
        </x:is>
      </x:c>
      <x:c s="15" r="D115" t="n">
        <x:v>6</x:v>
      </x:c>
      <x:c s="15" r="E115"/>
      <x:c s="14" r="F115" t="inlineStr">
        <x:is>
          <x:t xml:space="preserve">multimodal chat</x:t>
        </x:is>
      </x:c>
      <x:c s="14" r="G115" t="inlineStr">
        <x:is>
          <x:t xml:space="preserve">text+vision+audio</x:t>
        </x:is>
      </x:c>
      <x:c r="H115" t="inlineStr">
        <x:is>
          <x:t xml:space="preserve">instruct</x:t>
        </x:is>
      </x:c>
      <x:c r="I115" t="inlineStr">
        <x:is>
          <x:t xml:space="preserve">Dense</x:t>
        </x:is>
      </x:c>
      <x:c s="16" r="J115" t="inlineStr">
        <x:is>
          <x:t xml:space="preserve">open</x:t>
        </x:is>
      </x:c>
      <x:c s="17" r="K115" t="inlineStr">
        <x:is>
          <x:t xml:space="preserve">https://huggingface.co/microsoft/Phi-4-multimodal-instruct</x:t>
        </x:is>
      </x:c>
      <x:c s="17" r="L115" t="inlineStr">
        <x:is>
          <x:t xml:space="preserve">https://huggingface.co/microsoft/Phi-4-multimodal-instruct-onnx</x:t>
        </x:is>
      </x:c>
      <x:c s="14" r="M115" t="inlineStr">
        <x:is>
          <x:t xml:space="preserve">BF16/FP16</x:t>
        </x:is>
      </x:c>
      <x:c s="15" r="N115" t="n">
        <x:v>19.2</x:v>
      </x:c>
      <x:c s="14" r="O115" t="inlineStr">
        <x:is>
          <x:t xml:space="preserve">BF16/FP16</x:t>
        </x:is>
      </x:c>
      <x:c s="15" r="P115" t="n">
        <x:v>19.2</x:v>
      </x:c>
      <x:c s="14" r="Q115" t="inlineStr">
        <x:is>
          <x:t xml:space="preserve">Comfortable</x:t>
        </x:is>
      </x:c>
      <x:c s="18" r="R115" t="inlineStr">
        <x:is>
          <x:t xml:space="preserve">Text, image, and audio in; text out.</x:t>
        </x:is>
      </x:c>
      <x:c s="14" r="S115" t="inlineStr">
        <x:is>
          <x:t xml:space="preserve">current_repo_page_2026-03-27</x:t>
        </x:is>
      </x:c>
      <x:c s="17" r="T115" t="inlineStr">
        <x:is>
          <x:t xml:space="preserve">https://huggingface.co/microsoft</x:t>
        </x:is>
      </x:c>
      <x:c s="14" r="U115" t="inlineStr">
        <x:is>
          <x:t xml:space="preserve">Transformers; ONNX; community GGUF</x:t>
        </x:is>
      </x:c>
      <x:c s="15" r="V115" t="n">
        <x:v>19.2</x:v>
      </x:c>
      <x:c s="15" r="W115" t="n">
        <x:v>11.6</x:v>
      </x:c>
      <x:c s="15" r="X115" t="n">
        <x:v>9.7</x:v>
      </x:c>
      <x:c s="15" r="Y115" t="n">
        <x:v>8.7</x:v>
      </x:c>
      <x:c s="15" r="Z115" t="n">
        <x:v>7.8</x:v>
      </x:c>
      <x:c s="15" r="AA115" t="n">
        <x:v>6.8</x:v>
      </x:c>
      <x:c s="15" r="AB115" t="n">
        <x:v>5.9</x:v>
      </x:c>
    </x:row>
    <x:row r="116">
      <x:c r="A116" t="inlineStr">
        <x:is>
          <x:t xml:space="preserve">Microsoft Phi</x:t>
        </x:is>
      </x:c>
      <x:c s="14" r="B116" t="inlineStr">
        <x:is>
          <x:t xml:space="preserve">microsoft/Phi-3.5-mini-instruct</x:t>
        </x:is>
      </x:c>
      <x:c s="14" r="C116" t="inlineStr">
        <x:is>
          <x:t xml:space="preserve">Phi-3.5-mini-instruct</x:t>
        </x:is>
      </x:c>
      <x:c s="15" r="D116" t="n">
        <x:v>4</x:v>
      </x:c>
      <x:c s="15" r="E116"/>
      <x:c s="14" r="F116" t="inlineStr">
        <x:is>
          <x:t xml:space="preserve">general chat</x:t>
        </x:is>
      </x:c>
      <x:c s="14" r="G116" t="inlineStr">
        <x:is>
          <x:t xml:space="preserve">text</x:t>
        </x:is>
      </x:c>
      <x:c r="H116" t="inlineStr">
        <x:is>
          <x:t xml:space="preserve">instruct</x:t>
        </x:is>
      </x:c>
      <x:c r="I116" t="inlineStr">
        <x:is>
          <x:t xml:space="preserve">Dense</x:t>
        </x:is>
      </x:c>
      <x:c s="16" r="J116" t="inlineStr">
        <x:is>
          <x:t xml:space="preserve">open</x:t>
        </x:is>
      </x:c>
      <x:c s="17" r="K116" t="inlineStr">
        <x:is>
          <x:t xml:space="preserve">https://huggingface.co/microsoft/Phi-3.5-mini-instruct</x:t>
        </x:is>
      </x:c>
      <x:c s="17" r="L116" t="inlineStr">
        <x:is>
          <x:t xml:space="preserve"/>
        </x:is>
      </x:c>
      <x:c s="14" r="M116" t="inlineStr">
        <x:is>
          <x:t xml:space="preserve">BF16/FP16</x:t>
        </x:is>
      </x:c>
      <x:c s="15" r="N116" t="n">
        <x:v>14.1</x:v>
      </x:c>
      <x:c s="14" r="O116" t="inlineStr">
        <x:is>
          <x:t xml:space="preserve">BF16/FP16</x:t>
        </x:is>
      </x:c>
      <x:c s="15" r="P116" t="n">
        <x:v>14.1</x:v>
      </x:c>
      <x:c s="14" r="Q116" t="inlineStr">
        <x:is>
          <x:t xml:space="preserve">Comfortable</x:t>
        </x:is>
      </x:c>
      <x:c s="18" r="R116" t="inlineStr">
        <x:is>
          <x:t xml:space="preserve">Small Phi 3.5 instruct model.</x:t>
        </x:is>
      </x:c>
      <x:c s="14" r="S116" t="inlineStr">
        <x:is>
          <x:t xml:space="preserve">current_repo_page_2026-03-27</x:t>
        </x:is>
      </x:c>
      <x:c s="17" r="T116" t="inlineStr">
        <x:is>
          <x:t xml:space="preserve">https://huggingface.co/microsoft</x:t>
        </x:is>
      </x:c>
      <x:c s="14" r="U116" t="inlineStr">
        <x:is>
          <x:t xml:space="preserve">Transformers; ONNX; community GGUF</x:t>
        </x:is>
      </x:c>
      <x:c s="15" r="V116" t="n">
        <x:v>14.1</x:v>
      </x:c>
      <x:c s="15" r="W116" t="n">
        <x:v>9.1</x:v>
      </x:c>
      <x:c s="15" r="X116" t="n">
        <x:v>7.8</x:v>
      </x:c>
      <x:c s="15" r="Y116" t="n">
        <x:v>7.2</x:v>
      </x:c>
      <x:c s="15" r="Z116" t="n">
        <x:v>6.5</x:v>
      </x:c>
      <x:c s="15" r="AA116" t="n">
        <x:v>5.9</x:v>
      </x:c>
      <x:c s="15" r="AB116" t="n">
        <x:v>5.3</x:v>
      </x:c>
    </x:row>
    <x:row r="117">
      <x:c r="A117" t="inlineStr">
        <x:is>
          <x:t xml:space="preserve">Microsoft Phi</x:t>
        </x:is>
      </x:c>
      <x:c s="14" r="B117" t="inlineStr">
        <x:is>
          <x:t xml:space="preserve">microsoft/Phi-3-mini-128k-instruct</x:t>
        </x:is>
      </x:c>
      <x:c s="14" r="C117" t="inlineStr">
        <x:is>
          <x:t xml:space="preserve">Phi-3-mini-128k-instruct</x:t>
        </x:is>
      </x:c>
      <x:c s="15" r="D117" t="n">
        <x:v>3.8</x:v>
      </x:c>
      <x:c s="15" r="E117"/>
      <x:c s="14" r="F117" t="inlineStr">
        <x:is>
          <x:t xml:space="preserve">general chat</x:t>
        </x:is>
      </x:c>
      <x:c s="14" r="G117" t="inlineStr">
        <x:is>
          <x:t xml:space="preserve">text</x:t>
        </x:is>
      </x:c>
      <x:c r="H117" t="inlineStr">
        <x:is>
          <x:t xml:space="preserve">instruct</x:t>
        </x:is>
      </x:c>
      <x:c r="I117" t="inlineStr">
        <x:is>
          <x:t xml:space="preserve">Dense</x:t>
        </x:is>
      </x:c>
      <x:c s="16" r="J117" t="inlineStr">
        <x:is>
          <x:t xml:space="preserve">open</x:t>
        </x:is>
      </x:c>
      <x:c s="17" r="K117" t="inlineStr">
        <x:is>
          <x:t xml:space="preserve">https://huggingface.co/microsoft/Phi-3-mini-128k-instruct</x:t>
        </x:is>
      </x:c>
      <x:c s="17" r="L117" t="inlineStr">
        <x:is>
          <x:t xml:space="preserve"/>
        </x:is>
      </x:c>
      <x:c s="14" r="M117" t="inlineStr">
        <x:is>
          <x:t xml:space="preserve">BF16/FP16</x:t>
        </x:is>
      </x:c>
      <x:c s="15" r="N117" t="n">
        <x:v>13.6</x:v>
      </x:c>
      <x:c s="14" r="O117" t="inlineStr">
        <x:is>
          <x:t xml:space="preserve">BF16/FP16</x:t>
        </x:is>
      </x:c>
      <x:c s="15" r="P117" t="n">
        <x:v>13.6</x:v>
      </x:c>
      <x:c s="14" r="Q117" t="inlineStr">
        <x:is>
          <x:t xml:space="preserve">Comfortable</x:t>
        </x:is>
      </x:c>
      <x:c s="18" r="R117" t="inlineStr">
        <x:is>
          <x:t xml:space="preserve">Phi-3 mini long-context.</x:t>
        </x:is>
      </x:c>
      <x:c s="14" r="S117" t="inlineStr">
        <x:is>
          <x:t xml:space="preserve">stable_series_pattern</x:t>
        </x:is>
      </x:c>
      <x:c s="17" r="T117" t="inlineStr">
        <x:is>
          <x:t xml:space="preserve">https://huggingface.co/microsoft</x:t>
        </x:is>
      </x:c>
      <x:c s="14" r="U117" t="inlineStr">
        <x:is>
          <x:t xml:space="preserve">Transformers; ONNX; community GGUF</x:t>
        </x:is>
      </x:c>
      <x:c s="15" r="V117" t="n">
        <x:v>13.6</x:v>
      </x:c>
      <x:c s="15" r="W117" t="n">
        <x:v>8.8</x:v>
      </x:c>
      <x:c s="15" r="X117" t="n">
        <x:v>7.6</x:v>
      </x:c>
      <x:c s="15" r="Y117" t="n">
        <x:v>7</x:v>
      </x:c>
      <x:c s="15" r="Z117" t="n">
        <x:v>6.4</x:v>
      </x:c>
      <x:c s="15" r="AA117" t="n">
        <x:v>5.8</x:v>
      </x:c>
      <x:c s="15" r="AB117" t="n">
        <x:v>5.2</x:v>
      </x:c>
    </x:row>
    <x:row r="118">
      <x:c r="A118" t="inlineStr">
        <x:is>
          <x:t xml:space="preserve">Microsoft Phi</x:t>
        </x:is>
      </x:c>
      <x:c s="14" r="B118" t="inlineStr">
        <x:is>
          <x:t xml:space="preserve">microsoft/Phi-3-mini-4k-instruct</x:t>
        </x:is>
      </x:c>
      <x:c s="14" r="C118" t="inlineStr">
        <x:is>
          <x:t xml:space="preserve">Phi-3-mini-4k-instruct</x:t>
        </x:is>
      </x:c>
      <x:c s="15" r="D118" t="n">
        <x:v>3.8</x:v>
      </x:c>
      <x:c s="15" r="E118"/>
      <x:c s="14" r="F118" t="inlineStr">
        <x:is>
          <x:t xml:space="preserve">general chat</x:t>
        </x:is>
      </x:c>
      <x:c s="14" r="G118" t="inlineStr">
        <x:is>
          <x:t xml:space="preserve">text</x:t>
        </x:is>
      </x:c>
      <x:c r="H118" t="inlineStr">
        <x:is>
          <x:t xml:space="preserve">instruct</x:t>
        </x:is>
      </x:c>
      <x:c r="I118" t="inlineStr">
        <x:is>
          <x:t xml:space="preserve">Dense</x:t>
        </x:is>
      </x:c>
      <x:c s="16" r="J118" t="inlineStr">
        <x:is>
          <x:t xml:space="preserve">open</x:t>
        </x:is>
      </x:c>
      <x:c s="17" r="K118" t="inlineStr">
        <x:is>
          <x:t xml:space="preserve">https://huggingface.co/microsoft/Phi-3-mini-4k-instruct</x:t>
        </x:is>
      </x:c>
      <x:c s="17" r="L118" t="inlineStr">
        <x:is>
          <x:t xml:space="preserve"/>
        </x:is>
      </x:c>
      <x:c s="14" r="M118" t="inlineStr">
        <x:is>
          <x:t xml:space="preserve">BF16/FP16</x:t>
        </x:is>
      </x:c>
      <x:c s="15" r="N118" t="n">
        <x:v>13.6</x:v>
      </x:c>
      <x:c s="14" r="O118" t="inlineStr">
        <x:is>
          <x:t xml:space="preserve">BF16/FP16</x:t>
        </x:is>
      </x:c>
      <x:c s="15" r="P118" t="n">
        <x:v>13.6</x:v>
      </x:c>
      <x:c s="14" r="Q118" t="inlineStr">
        <x:is>
          <x:t xml:space="preserve">Comfortable</x:t>
        </x:is>
      </x:c>
      <x:c s="18" r="R118" t="inlineStr">
        <x:is>
          <x:t xml:space="preserve">Phi-3 mini 4K context.</x:t>
        </x:is>
      </x:c>
      <x:c s="14" r="S118" t="inlineStr">
        <x:is>
          <x:t xml:space="preserve">current_repo_page_2026-03-27</x:t>
        </x:is>
      </x:c>
      <x:c s="17" r="T118" t="inlineStr">
        <x:is>
          <x:t xml:space="preserve">https://huggingface.co/microsoft</x:t>
        </x:is>
      </x:c>
      <x:c s="14" r="U118" t="inlineStr">
        <x:is>
          <x:t xml:space="preserve">Transformers; ONNX; community GGUF</x:t>
        </x:is>
      </x:c>
      <x:c s="15" r="V118" t="n">
        <x:v>13.6</x:v>
      </x:c>
      <x:c s="15" r="W118" t="n">
        <x:v>8.8</x:v>
      </x:c>
      <x:c s="15" r="X118" t="n">
        <x:v>7.6</x:v>
      </x:c>
      <x:c s="15" r="Y118" t="n">
        <x:v>7</x:v>
      </x:c>
      <x:c s="15" r="Z118" t="n">
        <x:v>6.4</x:v>
      </x:c>
      <x:c s="15" r="AA118" t="n">
        <x:v>5.8</x:v>
      </x:c>
      <x:c s="15" r="AB118" t="n">
        <x:v>5.2</x:v>
      </x:c>
    </x:row>
    <x:row r="119">
      <x:c r="A119" t="inlineStr">
        <x:is>
          <x:t xml:space="preserve">Microsoft Phi</x:t>
        </x:is>
      </x:c>
      <x:c s="14" r="B119" t="inlineStr">
        <x:is>
          <x:t xml:space="preserve">microsoft/Phi-4-mini-flash-reasoning</x:t>
        </x:is>
      </x:c>
      <x:c s="14" r="C119" t="inlineStr">
        <x:is>
          <x:t xml:space="preserve">Phi-4-mini-flash-reasoning</x:t>
        </x:is>
      </x:c>
      <x:c s="15" r="D119" t="n">
        <x:v>3.8</x:v>
      </x:c>
      <x:c s="15" r="E119"/>
      <x:c s="14" r="F119" t="inlineStr">
        <x:is>
          <x:t xml:space="preserve">reasoning</x:t>
        </x:is>
      </x:c>
      <x:c s="14" r="G119" t="inlineStr">
        <x:is>
          <x:t xml:space="preserve">text</x:t>
        </x:is>
      </x:c>
      <x:c r="H119" t="inlineStr">
        <x:is>
          <x:t xml:space="preserve">reasoning</x:t>
        </x:is>
      </x:c>
      <x:c r="I119" t="inlineStr">
        <x:is>
          <x:t xml:space="preserve">Dense</x:t>
        </x:is>
      </x:c>
      <x:c s="16" r="J119" t="inlineStr">
        <x:is>
          <x:t xml:space="preserve">open</x:t>
        </x:is>
      </x:c>
      <x:c s="17" r="K119" t="inlineStr">
        <x:is>
          <x:t xml:space="preserve">https://huggingface.co/microsoft/Phi-4-mini-flash-reasoning</x:t>
        </x:is>
      </x:c>
      <x:c s="17" r="L119" t="inlineStr">
        <x:is>
          <x:t xml:space="preserve"/>
        </x:is>
      </x:c>
      <x:c s="14" r="M119" t="inlineStr">
        <x:is>
          <x:t xml:space="preserve">BF16/FP16</x:t>
        </x:is>
      </x:c>
      <x:c s="15" r="N119" t="n">
        <x:v>13.6</x:v>
      </x:c>
      <x:c s="14" r="O119" t="inlineStr">
        <x:is>
          <x:t xml:space="preserve">BF16/FP16</x:t>
        </x:is>
      </x:c>
      <x:c s="15" r="P119" t="n">
        <x:v>13.6</x:v>
      </x:c>
      <x:c s="14" r="Q119" t="inlineStr">
        <x:is>
          <x:t xml:space="preserve">Comfortable</x:t>
        </x:is>
      </x:c>
      <x:c s="18" r="R119" t="inlineStr">
        <x:is>
          <x:t xml:space="preserve">Latency-oriented reasoning checkpoint.</x:t>
        </x:is>
      </x:c>
      <x:c s="14" r="S119" t="inlineStr">
        <x:is>
          <x:t xml:space="preserve">current_repo_page_2026-03-27</x:t>
        </x:is>
      </x:c>
      <x:c s="17" r="T119" t="inlineStr">
        <x:is>
          <x:t xml:space="preserve">https://huggingface.co/microsoft</x:t>
        </x:is>
      </x:c>
      <x:c s="14" r="U119" t="inlineStr">
        <x:is>
          <x:t xml:space="preserve">Transformers; ONNX; community GGUF</x:t>
        </x:is>
      </x:c>
      <x:c s="15" r="V119" t="n">
        <x:v>13.6</x:v>
      </x:c>
      <x:c s="15" r="W119" t="n">
        <x:v>8.8</x:v>
      </x:c>
      <x:c s="15" r="X119" t="n">
        <x:v>7.6</x:v>
      </x:c>
      <x:c s="15" r="Y119" t="n">
        <x:v>7</x:v>
      </x:c>
      <x:c s="15" r="Z119" t="n">
        <x:v>6.4</x:v>
      </x:c>
      <x:c s="15" r="AA119" t="n">
        <x:v>5.8</x:v>
      </x:c>
      <x:c s="15" r="AB119" t="n">
        <x:v>5.2</x:v>
      </x:c>
    </x:row>
    <x:row r="120">
      <x:c r="A120" t="inlineStr">
        <x:is>
          <x:t xml:space="preserve">Microsoft Phi</x:t>
        </x:is>
      </x:c>
      <x:c s="14" r="B120" t="inlineStr">
        <x:is>
          <x:t xml:space="preserve">microsoft/Phi-4-mini-instruct</x:t>
        </x:is>
      </x:c>
      <x:c s="14" r="C120" t="inlineStr">
        <x:is>
          <x:t xml:space="preserve">Phi-4-mini-instruct</x:t>
        </x:is>
      </x:c>
      <x:c s="15" r="D120" t="n">
        <x:v>3.8</x:v>
      </x:c>
      <x:c s="15" r="E120"/>
      <x:c s="14" r="F120" t="inlineStr">
        <x:is>
          <x:t xml:space="preserve">general chat</x:t>
        </x:is>
      </x:c>
      <x:c s="14" r="G120" t="inlineStr">
        <x:is>
          <x:t xml:space="preserve">text</x:t>
        </x:is>
      </x:c>
      <x:c r="H120" t="inlineStr">
        <x:is>
          <x:t xml:space="preserve">instruct</x:t>
        </x:is>
      </x:c>
      <x:c r="I120" t="inlineStr">
        <x:is>
          <x:t xml:space="preserve">Dense</x:t>
        </x:is>
      </x:c>
      <x:c s="16" r="J120" t="inlineStr">
        <x:is>
          <x:t xml:space="preserve">open</x:t>
        </x:is>
      </x:c>
      <x:c s="17" r="K120" t="inlineStr">
        <x:is>
          <x:t xml:space="preserve">https://huggingface.co/microsoft/Phi-4-mini-instruct</x:t>
        </x:is>
      </x:c>
      <x:c s="17" r="L120" t="inlineStr">
        <x:is>
          <x:t xml:space="preserve">https://huggingface.co/microsoft/Phi-4-mini-instruct-onnx</x:t>
        </x:is>
      </x:c>
      <x:c s="14" r="M120" t="inlineStr">
        <x:is>
          <x:t xml:space="preserve">BF16/FP16</x:t>
        </x:is>
      </x:c>
      <x:c s="15" r="N120" t="n">
        <x:v>13.6</x:v>
      </x:c>
      <x:c s="14" r="O120" t="inlineStr">
        <x:is>
          <x:t xml:space="preserve">BF16/FP16</x:t>
        </x:is>
      </x:c>
      <x:c s="15" r="P120" t="n">
        <x:v>13.6</x:v>
      </x:c>
      <x:c s="14" r="Q120" t="inlineStr">
        <x:is>
          <x:t xml:space="preserve">Comfortable</x:t>
        </x:is>
      </x:c>
      <x:c s="18" r="R120" t="inlineStr">
        <x:is>
          <x:t xml:space="preserve">Small Phi 4 instruct model.</x:t>
        </x:is>
      </x:c>
      <x:c s="14" r="S120" t="inlineStr">
        <x:is>
          <x:t xml:space="preserve">current_repo_page_2026-03-27</x:t>
        </x:is>
      </x:c>
      <x:c s="17" r="T120" t="inlineStr">
        <x:is>
          <x:t xml:space="preserve">https://huggingface.co/microsoft</x:t>
        </x:is>
      </x:c>
      <x:c s="14" r="U120" t="inlineStr">
        <x:is>
          <x:t xml:space="preserve">Transformers; ONNX; community GGUF</x:t>
        </x:is>
      </x:c>
      <x:c s="15" r="V120" t="n">
        <x:v>13.6</x:v>
      </x:c>
      <x:c s="15" r="W120" t="n">
        <x:v>8.8</x:v>
      </x:c>
      <x:c s="15" r="X120" t="n">
        <x:v>7.6</x:v>
      </x:c>
      <x:c s="15" r="Y120" t="n">
        <x:v>7</x:v>
      </x:c>
      <x:c s="15" r="Z120" t="n">
        <x:v>6.4</x:v>
      </x:c>
      <x:c s="15" r="AA120" t="n">
        <x:v>5.8</x:v>
      </x:c>
      <x:c s="15" r="AB120" t="n">
        <x:v>5.2</x:v>
      </x:c>
    </x:row>
    <x:row r="121">
      <x:c r="A121" t="inlineStr">
        <x:is>
          <x:t xml:space="preserve">Microsoft Phi</x:t>
        </x:is>
      </x:c>
      <x:c s="14" r="B121" t="inlineStr">
        <x:is>
          <x:t xml:space="preserve">microsoft/Phi-4-mini-reasoning</x:t>
        </x:is>
      </x:c>
      <x:c s="14" r="C121" t="inlineStr">
        <x:is>
          <x:t xml:space="preserve">Phi-4-mini-reasoning</x:t>
        </x:is>
      </x:c>
      <x:c s="15" r="D121" t="n">
        <x:v>3.8</x:v>
      </x:c>
      <x:c s="15" r="E121"/>
      <x:c s="14" r="F121" t="inlineStr">
        <x:is>
          <x:t xml:space="preserve">reasoning</x:t>
        </x:is>
      </x:c>
      <x:c s="14" r="G121" t="inlineStr">
        <x:is>
          <x:t xml:space="preserve">text</x:t>
        </x:is>
      </x:c>
      <x:c r="H121" t="inlineStr">
        <x:is>
          <x:t xml:space="preserve">reasoning</x:t>
        </x:is>
      </x:c>
      <x:c r="I121" t="inlineStr">
        <x:is>
          <x:t xml:space="preserve">Dense</x:t>
        </x:is>
      </x:c>
      <x:c s="16" r="J121" t="inlineStr">
        <x:is>
          <x:t xml:space="preserve">open</x:t>
        </x:is>
      </x:c>
      <x:c s="17" r="K121" t="inlineStr">
        <x:is>
          <x:t xml:space="preserve">https://huggingface.co/microsoft/Phi-4-mini-reasoning</x:t>
        </x:is>
      </x:c>
      <x:c s="17" r="L121" t="inlineStr">
        <x:is>
          <x:t xml:space="preserve">https://huggingface.co/microsoft/Phi-4-mini-reasoning-onnx</x:t>
        </x:is>
      </x:c>
      <x:c s="14" r="M121" t="inlineStr">
        <x:is>
          <x:t xml:space="preserve">BF16/FP16</x:t>
        </x:is>
      </x:c>
      <x:c s="15" r="N121" t="n">
        <x:v>13.6</x:v>
      </x:c>
      <x:c s="14" r="O121" t="inlineStr">
        <x:is>
          <x:t xml:space="preserve">BF16/FP16</x:t>
        </x:is>
      </x:c>
      <x:c s="15" r="P121" t="n">
        <x:v>13.6</x:v>
      </x:c>
      <x:c s="14" r="Q121" t="inlineStr">
        <x:is>
          <x:t xml:space="preserve">Comfortable</x:t>
        </x:is>
      </x:c>
      <x:c s="18" r="R121" t="inlineStr">
        <x:is>
          <x:t xml:space="preserve">Small reasoning model.</x:t>
        </x:is>
      </x:c>
      <x:c s="14" r="S121" t="inlineStr">
        <x:is>
          <x:t xml:space="preserve">current_repo_page_2026-03-27</x:t>
        </x:is>
      </x:c>
      <x:c s="17" r="T121" t="inlineStr">
        <x:is>
          <x:t xml:space="preserve">https://huggingface.co/microsoft</x:t>
        </x:is>
      </x:c>
      <x:c s="14" r="U121" t="inlineStr">
        <x:is>
          <x:t xml:space="preserve">Transformers; ONNX; community GGUF</x:t>
        </x:is>
      </x:c>
      <x:c s="15" r="V121" t="n">
        <x:v>13.6</x:v>
      </x:c>
      <x:c s="15" r="W121" t="n">
        <x:v>8.8</x:v>
      </x:c>
      <x:c s="15" r="X121" t="n">
        <x:v>7.6</x:v>
      </x:c>
      <x:c s="15" r="Y121" t="n">
        <x:v>7</x:v>
      </x:c>
      <x:c s="15" r="Z121" t="n">
        <x:v>6.4</x:v>
      </x:c>
      <x:c s="15" r="AA121" t="n">
        <x:v>5.8</x:v>
      </x:c>
      <x:c s="15" r="AB121" t="n">
        <x:v>5.2</x:v>
      </x:c>
    </x:row>
    <x:row r="122">
      <x:c r="A122" t="inlineStr">
        <x:is>
          <x:t xml:space="preserve">Mistral</x:t>
        </x:is>
      </x:c>
      <x:c s="14" r="B122" t="inlineStr">
        <x:is>
          <x:t xml:space="preserve">mistralai/Mixtral-8x22B-Instruct-v0.1</x:t>
        </x:is>
      </x:c>
      <x:c s="14" r="C122" t="inlineStr">
        <x:is>
          <x:t xml:space="preserve">Mixtral 8x22B Instruct v0.1</x:t>
        </x:is>
      </x:c>
      <x:c s="15" r="D122" t="n">
        <x:v>141</x:v>
      </x:c>
      <x:c s="15" r="E122" t="n">
        <x:v>39</x:v>
      </x:c>
      <x:c s="14" r="F122" t="inlineStr">
        <x:is>
          <x:t xml:space="preserve">general chat</x:t>
        </x:is>
      </x:c>
      <x:c s="14" r="G122" t="inlineStr">
        <x:is>
          <x:t xml:space="preserve">text</x:t>
        </x:is>
      </x:c>
      <x:c r="H122" t="inlineStr">
        <x:is>
          <x:t xml:space="preserve">instruct</x:t>
        </x:is>
      </x:c>
      <x:c r="I122" t="inlineStr">
        <x:is>
          <x:t xml:space="preserve">MoE</x:t>
        </x:is>
      </x:c>
      <x:c s="16" r="J122" t="inlineStr">
        <x:is>
          <x:t xml:space="preserve">open</x:t>
        </x:is>
      </x:c>
      <x:c s="17" r="K122" t="inlineStr">
        <x:is>
          <x:t xml:space="preserve">https://huggingface.co/mistralai/Mixtral-8x22B-Instruct-v0.1</x:t>
        </x:is>
      </x:c>
      <x:c s="17" r="L122" t="inlineStr">
        <x:is>
          <x:t xml:space="preserve"/>
        </x:is>
      </x:c>
      <x:c s="14" r="M122" t="inlineStr">
        <x:is>
          <x:t xml:space="preserve">Q4_K_M/4-bit</x:t>
        </x:is>
      </x:c>
      <x:c s="15" r="N122" t="n">
        <x:v>97.1</x:v>
      </x:c>
      <x:c s="14" r="O122" t="inlineStr">
        <x:is>
          <x:t xml:space="preserve">Q3_K_M/3-bit</x:t>
        </x:is>
      </x:c>
      <x:c s="15" r="P122" t="n">
        <x:v>73.8</x:v>
      </x:c>
      <x:c s="14" r="Q122" t="inlineStr">
        <x:is>
          <x:t xml:space="preserve">Comfortable</x:t>
        </x:is>
      </x:c>
      <x:c s="18" r="R122" t="inlineStr">
        <x:is>
          <x:t xml:space="preserve">Sparse MoE checkpoint.</x:t>
        </x:is>
      </x:c>
      <x:c s="14" r="S122" t="inlineStr">
        <x:is>
          <x:t xml:space="preserve">current_repo_page_2026-03-27</x:t>
        </x:is>
      </x:c>
      <x:c s="17" r="T122" t="inlineStr">
        <x:is>
          <x:t xml:space="preserve">https://huggingface.co/mistralai</x:t>
        </x:is>
      </x:c>
      <x:c s="14" r="U122" t="inlineStr">
        <x:is>
          <x:t xml:space="preserve">Transformers; GGUF</x:t>
        </x:is>
      </x:c>
      <x:c s="15" r="V122" t="n">
        <x:v>376.2</x:v>
      </x:c>
      <x:c s="15" r="W122" t="n">
        <x:v>190.1</x:v>
      </x:c>
      <x:c s="15" r="X122" t="n">
        <x:v>143.6</x:v>
      </x:c>
      <x:c s="15" r="Y122" t="n">
        <x:v>120.3</x:v>
      </x:c>
      <x:c s="15" r="Z122" t="n">
        <x:v>97.1</x:v>
      </x:c>
      <x:c s="15" r="AA122" t="n">
        <x:v>73.8</x:v>
      </x:c>
      <x:c s="15" r="AB122" t="n">
        <x:v>50.5</x:v>
      </x:c>
    </x:row>
    <x:row r="123">
      <x:c r="A123" t="inlineStr">
        <x:is>
          <x:t xml:space="preserve">Mistral</x:t>
        </x:is>
      </x:c>
      <x:c s="14" r="B123" t="inlineStr">
        <x:is>
          <x:t xml:space="preserve">mistralai/Mixtral-8x22B-v0.1</x:t>
        </x:is>
      </x:c>
      <x:c s="14" r="C123" t="inlineStr">
        <x:is>
          <x:t xml:space="preserve">Mixtral 8x22B v0.1</x:t>
        </x:is>
      </x:c>
      <x:c s="15" r="D123" t="n">
        <x:v>141</x:v>
      </x:c>
      <x:c s="15" r="E123" t="n">
        <x:v>39</x:v>
      </x:c>
      <x:c s="14" r="F123" t="inlineStr">
        <x:is>
          <x:t xml:space="preserve">general</x:t>
        </x:is>
      </x:c>
      <x:c s="14" r="G123" t="inlineStr">
        <x:is>
          <x:t xml:space="preserve">text</x:t>
        </x:is>
      </x:c>
      <x:c r="H123" t="inlineStr">
        <x:is>
          <x:t xml:space="preserve">base</x:t>
        </x:is>
      </x:c>
      <x:c r="I123" t="inlineStr">
        <x:is>
          <x:t xml:space="preserve">MoE</x:t>
        </x:is>
      </x:c>
      <x:c s="16" r="J123" t="inlineStr">
        <x:is>
          <x:t xml:space="preserve">open</x:t>
        </x:is>
      </x:c>
      <x:c s="17" r="K123" t="inlineStr">
        <x:is>
          <x:t xml:space="preserve">https://huggingface.co/mistralai/Mixtral-8x22B-v0.1</x:t>
        </x:is>
      </x:c>
      <x:c s="17" r="L123" t="inlineStr">
        <x:is>
          <x:t xml:space="preserve"/>
        </x:is>
      </x:c>
      <x:c s="14" r="M123" t="inlineStr">
        <x:is>
          <x:t xml:space="preserve">Q4_K_M/4-bit</x:t>
        </x:is>
      </x:c>
      <x:c s="15" r="N123" t="n">
        <x:v>97.1</x:v>
      </x:c>
      <x:c s="14" r="O123" t="inlineStr">
        <x:is>
          <x:t xml:space="preserve">Q3_K_M/3-bit</x:t>
        </x:is>
      </x:c>
      <x:c s="15" r="P123" t="n">
        <x:v>73.8</x:v>
      </x:c>
      <x:c s="14" r="Q123" t="inlineStr">
        <x:is>
          <x:t xml:space="preserve">Comfortable</x:t>
        </x:is>
      </x:c>
      <x:c s="18" r="R123" t="inlineStr">
        <x:is>
          <x:t xml:space="preserve">Sparse MoE checkpoint.</x:t>
        </x:is>
      </x:c>
      <x:c s="14" r="S123" t="inlineStr">
        <x:is>
          <x:t xml:space="preserve">current_repo_page_2026-03-27</x:t>
        </x:is>
      </x:c>
      <x:c s="17" r="T123" t="inlineStr">
        <x:is>
          <x:t xml:space="preserve">https://huggingface.co/mistralai</x:t>
        </x:is>
      </x:c>
      <x:c s="14" r="U123" t="inlineStr">
        <x:is>
          <x:t xml:space="preserve">Transformers; GGUF</x:t>
        </x:is>
      </x:c>
      <x:c s="15" r="V123" t="n">
        <x:v>376.2</x:v>
      </x:c>
      <x:c s="15" r="W123" t="n">
        <x:v>190.1</x:v>
      </x:c>
      <x:c s="15" r="X123" t="n">
        <x:v>143.6</x:v>
      </x:c>
      <x:c s="15" r="Y123" t="n">
        <x:v>120.3</x:v>
      </x:c>
      <x:c s="15" r="Z123" t="n">
        <x:v>97.1</x:v>
      </x:c>
      <x:c s="15" r="AA123" t="n">
        <x:v>73.8</x:v>
      </x:c>
      <x:c s="15" r="AB123" t="n">
        <x:v>50.5</x:v>
      </x:c>
    </x:row>
    <x:row r="124">
      <x:c r="A124" t="inlineStr">
        <x:is>
          <x:t xml:space="preserve">Mistral</x:t>
        </x:is>
      </x:c>
      <x:c s="14" r="B124" t="inlineStr">
        <x:is>
          <x:t xml:space="preserve">mistralai/Devstral-2-123B-Instruct-2512</x:t>
        </x:is>
      </x:c>
      <x:c s="14" r="C124" t="inlineStr">
        <x:is>
          <x:t xml:space="preserve">Devstral-2-123B-Instruct-2512</x:t>
        </x:is>
      </x:c>
      <x:c s="15" r="D124" t="n">
        <x:v>123</x:v>
      </x:c>
      <x:c s="15" r="E124"/>
      <x:c s="14" r="F124" t="inlineStr">
        <x:is>
          <x:t xml:space="preserve">coding / agents</x:t>
        </x:is>
      </x:c>
      <x:c s="14" r="G124" t="inlineStr">
        <x:is>
          <x:t xml:space="preserve">text</x:t>
        </x:is>
      </x:c>
      <x:c r="H124" t="inlineStr">
        <x:is>
          <x:t xml:space="preserve">instruct</x:t>
        </x:is>
      </x:c>
      <x:c r="I124" t="inlineStr">
        <x:is>
          <x:t xml:space="preserve">Dense</x:t>
        </x:is>
      </x:c>
      <x:c s="16" r="J124" t="inlineStr">
        <x:is>
          <x:t xml:space="preserve">open</x:t>
        </x:is>
      </x:c>
      <x:c s="17" r="K124" t="inlineStr">
        <x:is>
          <x:t xml:space="preserve">https://huggingface.co/mistralai/Devstral-2-123B-Instruct-2512</x:t>
        </x:is>
      </x:c>
      <x:c s="17" r="L124" t="inlineStr">
        <x:is>
          <x:t xml:space="preserve"/>
        </x:is>
      </x:c>
      <x:c s="14" r="M124" t="inlineStr">
        <x:is>
          <x:t xml:space="preserve">Q4_K_M/4-bit</x:t>
        </x:is>
      </x:c>
      <x:c s="15" r="N124" t="n">
        <x:v>81.8</x:v>
      </x:c>
      <x:c s="14" r="O124" t="inlineStr">
        <x:is>
          <x:t xml:space="preserve">Q4_K_M/4-bit</x:t>
        </x:is>
      </x:c>
      <x:c s="15" r="P124" t="n">
        <x:v>81.8</x:v>
      </x:c>
      <x:c s="14" r="Q124" t="inlineStr">
        <x:is>
          <x:t xml:space="preserve">Near limit</x:t>
        </x:is>
      </x:c>
      <x:c s="18" r="R124" t="inlineStr">
        <x:is>
          <x:t xml:space="preserve">Large Devstral 2 release.</x:t>
        </x:is>
      </x:c>
      <x:c s="14" r="S124" t="inlineStr">
        <x:is>
          <x:t xml:space="preserve">current_family_page_2026-03-27</x:t>
        </x:is>
      </x:c>
      <x:c s="17" r="T124" t="inlineStr">
        <x:is>
          <x:t xml:space="preserve">https://huggingface.co/mistralai</x:t>
        </x:is>
      </x:c>
      <x:c s="14" r="U124" t="inlineStr">
        <x:is>
          <x:t xml:space="preserve">Transformers; GGUF</x:t>
        </x:is>
      </x:c>
      <x:c s="15" r="V124" t="n">
        <x:v>315.2</x:v>
      </x:c>
      <x:c s="15" r="W124" t="n">
        <x:v>159.6</x:v>
      </x:c>
      <x:c s="15" r="X124" t="n">
        <x:v>120.7</x:v>
      </x:c>
      <x:c s="15" r="Y124" t="n">
        <x:v>101.2</x:v>
      </x:c>
      <x:c s="15" r="Z124" t="n">
        <x:v>81.8</x:v>
      </x:c>
      <x:c s="15" r="AA124" t="n">
        <x:v>62.3</x:v>
      </x:c>
      <x:c s="15" r="AB124" t="n">
        <x:v>42.9</x:v>
      </x:c>
    </x:row>
    <x:row r="125">
      <x:c r="A125" t="inlineStr">
        <x:is>
          <x:t xml:space="preserve">Mistral</x:t>
        </x:is>
      </x:c>
      <x:c s="14" r="B125" t="inlineStr">
        <x:is>
          <x:t xml:space="preserve">mistralai/Mistral-Small-4-119B-2603</x:t>
        </x:is>
      </x:c>
      <x:c s="14" r="C125" t="inlineStr">
        <x:is>
          <x:t xml:space="preserve">Mistral-Small-4-119B-2603</x:t>
        </x:is>
      </x:c>
      <x:c s="15" r="D125" t="n">
        <x:v>119</x:v>
      </x:c>
      <x:c s="15" r="E125"/>
      <x:c s="14" r="F125" t="inlineStr">
        <x:is>
          <x:t xml:space="preserve">general</x:t>
        </x:is>
      </x:c>
      <x:c s="14" r="G125" t="inlineStr">
        <x:is>
          <x:t xml:space="preserve">text</x:t>
        </x:is>
      </x:c>
      <x:c r="H125" t="inlineStr">
        <x:is>
          <x:t xml:space="preserve">general</x:t>
        </x:is>
      </x:c>
      <x:c r="I125" t="inlineStr">
        <x:is>
          <x:t xml:space="preserve">MoE</x:t>
        </x:is>
      </x:c>
      <x:c s="16" r="J125" t="inlineStr">
        <x:is>
          <x:t xml:space="preserve">open</x:t>
        </x:is>
      </x:c>
      <x:c s="17" r="K125" t="inlineStr">
        <x:is>
          <x:t xml:space="preserve">https://huggingface.co/mistralai/Mistral-Small-4-119B-2603</x:t>
        </x:is>
      </x:c>
      <x:c s="17" r="L125" t="inlineStr">
        <x:is>
          <x:t xml:space="preserve">https://huggingface.co/mistralai/Mistral-Small-4-119B-2603-NVFP4</x:t>
        </x:is>
      </x:c>
      <x:c s="14" r="M125" t="inlineStr">
        <x:is>
          <x:t xml:space="preserve">Q4_K_M/4-bit</x:t>
        </x:is>
      </x:c>
      <x:c s="15" r="N125" t="n">
        <x:v>82.5</x:v>
      </x:c>
      <x:c s="14" r="O125" t="inlineStr">
        <x:is>
          <x:t xml:space="preserve">Q4_K_M/4-bit</x:t>
        </x:is>
      </x:c>
      <x:c s="15" r="P125" t="n">
        <x:v>82.5</x:v>
      </x:c>
      <x:c s="14" r="Q125" t="inlineStr">
        <x:is>
          <x:t xml:space="preserve">Near limit</x:t>
        </x:is>
      </x:c>
      <x:c s="18" r="R125" t="inlineStr">
        <x:is>
          <x:t xml:space="preserve">Granular MoE; official NVFP4 repo available.</x:t>
        </x:is>
      </x:c>
      <x:c s="14" r="S125" t="inlineStr">
        <x:is>
          <x:t xml:space="preserve">current_family_page_2026-03-27</x:t>
        </x:is>
      </x:c>
      <x:c s="17" r="T125" t="inlineStr">
        <x:is>
          <x:t xml:space="preserve">https://huggingface.co/mistralai</x:t>
        </x:is>
      </x:c>
      <x:c s="14" r="U125" t="inlineStr">
        <x:is>
          <x:t xml:space="preserve">Transformers; GGUF</x:t>
        </x:is>
      </x:c>
      <x:c s="15" r="V125" t="n">
        <x:v>318.2</x:v>
      </x:c>
      <x:c s="15" r="W125" t="n">
        <x:v>161.1</x:v>
      </x:c>
      <x:c s="15" r="X125" t="n">
        <x:v>121.8</x:v>
      </x:c>
      <x:c s="15" r="Y125" t="n">
        <x:v>102.2</x:v>
      </x:c>
      <x:c s="15" r="Z125" t="n">
        <x:v>82.5</x:v>
      </x:c>
      <x:c s="15" r="AA125" t="n">
        <x:v>62.9</x:v>
      </x:c>
      <x:c s="15" r="AB125" t="n">
        <x:v>43.3</x:v>
      </x:c>
    </x:row>
    <x:row r="126">
      <x:c r="A126" t="inlineStr">
        <x:is>
          <x:t xml:space="preserve">Mistral</x:t>
        </x:is>
      </x:c>
      <x:c s="14" r="B126" t="inlineStr">
        <x:is>
          <x:t xml:space="preserve">mistralai/Mixtral-8x7B-Instruct-v0.1</x:t>
        </x:is>
      </x:c>
      <x:c s="14" r="C126" t="inlineStr">
        <x:is>
          <x:t xml:space="preserve">Mixtral 8x7B Instruct v0.1</x:t>
        </x:is>
      </x:c>
      <x:c s="15" r="D126" t="n">
        <x:v>47</x:v>
      </x:c>
      <x:c s="15" r="E126" t="n">
        <x:v>13</x:v>
      </x:c>
      <x:c s="14" r="F126" t="inlineStr">
        <x:is>
          <x:t xml:space="preserve">general chat</x:t>
        </x:is>
      </x:c>
      <x:c s="14" r="G126" t="inlineStr">
        <x:is>
          <x:t xml:space="preserve">text</x:t>
        </x:is>
      </x:c>
      <x:c r="H126" t="inlineStr">
        <x:is>
          <x:t xml:space="preserve">instruct</x:t>
        </x:is>
      </x:c>
      <x:c r="I126" t="inlineStr">
        <x:is>
          <x:t xml:space="preserve">MoE</x:t>
        </x:is>
      </x:c>
      <x:c s="16" r="J126" t="inlineStr">
        <x:is>
          <x:t xml:space="preserve">open</x:t>
        </x:is>
      </x:c>
      <x:c s="17" r="K126" t="inlineStr">
        <x:is>
          <x:t xml:space="preserve">https://huggingface.co/mistralai/Mixtral-8x7B-Instruct-v0.1</x:t>
        </x:is>
      </x:c>
      <x:c s="17" r="L126" t="inlineStr">
        <x:is>
          <x:t xml:space="preserve"/>
        </x:is>
      </x:c>
      <x:c s="14" r="M126" t="inlineStr">
        <x:is>
          <x:t xml:space="preserve">FP8/Q8_0/INT8</x:t>
        </x:is>
      </x:c>
      <x:c s="15" r="N126" t="n">
        <x:v>66</x:v>
      </x:c>
      <x:c s="14" r="O126" t="inlineStr">
        <x:is>
          <x:t xml:space="preserve">FP8/Q8_0/INT8</x:t>
        </x:is>
      </x:c>
      <x:c s="15" r="P126" t="n">
        <x:v>66</x:v>
      </x:c>
      <x:c s="14" r="Q126" t="inlineStr">
        <x:is>
          <x:t xml:space="preserve">Comfortable</x:t>
        </x:is>
      </x:c>
      <x:c s="18" r="R126" t="inlineStr">
        <x:is>
          <x:t xml:space="preserve">Sparse MoE checkpoint.</x:t>
        </x:is>
      </x:c>
      <x:c s="14" r="S126" t="inlineStr">
        <x:is>
          <x:t xml:space="preserve">current_repo_page_2026-03-27</x:t>
        </x:is>
      </x:c>
      <x:c s="17" r="T126" t="inlineStr">
        <x:is>
          <x:t xml:space="preserve">https://huggingface.co/mistralai</x:t>
        </x:is>
      </x:c>
      <x:c s="14" r="U126" t="inlineStr">
        <x:is>
          <x:t xml:space="preserve">Transformers; GGUF</x:t>
        </x:is>
      </x:c>
      <x:c s="15" r="V126" t="n">
        <x:v>128.1</x:v>
      </x:c>
      <x:c s="15" r="W126" t="n">
        <x:v>66</x:v>
      </x:c>
      <x:c s="15" r="X126" t="n">
        <x:v>50.5</x:v>
      </x:c>
      <x:c s="15" r="Y126" t="n">
        <x:v>42.8</x:v>
      </x:c>
      <x:c s="15" r="Z126" t="n">
        <x:v>35</x:v>
      </x:c>
      <x:c s="15" r="AA126" t="n">
        <x:v>27.3</x:v>
      </x:c>
      <x:c s="15" r="AB126" t="n">
        <x:v>19.5</x:v>
      </x:c>
    </x:row>
    <x:row r="127">
      <x:c r="A127" t="inlineStr">
        <x:is>
          <x:t xml:space="preserve">Mistral</x:t>
        </x:is>
      </x:c>
      <x:c s="14" r="B127" t="inlineStr">
        <x:is>
          <x:t xml:space="preserve">mistralai/Mixtral-8x7B-v0.1</x:t>
        </x:is>
      </x:c>
      <x:c s="14" r="C127" t="inlineStr">
        <x:is>
          <x:t xml:space="preserve">Mixtral 8x7B v0.1</x:t>
        </x:is>
      </x:c>
      <x:c s="15" r="D127" t="n">
        <x:v>47</x:v>
      </x:c>
      <x:c s="15" r="E127" t="n">
        <x:v>13</x:v>
      </x:c>
      <x:c s="14" r="F127" t="inlineStr">
        <x:is>
          <x:t xml:space="preserve">general</x:t>
        </x:is>
      </x:c>
      <x:c s="14" r="G127" t="inlineStr">
        <x:is>
          <x:t xml:space="preserve">text</x:t>
        </x:is>
      </x:c>
      <x:c r="H127" t="inlineStr">
        <x:is>
          <x:t xml:space="preserve">base</x:t>
        </x:is>
      </x:c>
      <x:c r="I127" t="inlineStr">
        <x:is>
          <x:t xml:space="preserve">MoE</x:t>
        </x:is>
      </x:c>
      <x:c s="16" r="J127" t="inlineStr">
        <x:is>
          <x:t xml:space="preserve">open</x:t>
        </x:is>
      </x:c>
      <x:c s="17" r="K127" t="inlineStr">
        <x:is>
          <x:t xml:space="preserve">https://huggingface.co/mistralai/Mixtral-8x7B-v0.1</x:t>
        </x:is>
      </x:c>
      <x:c s="17" r="L127" t="inlineStr">
        <x:is>
          <x:t xml:space="preserve"/>
        </x:is>
      </x:c>
      <x:c s="14" r="M127" t="inlineStr">
        <x:is>
          <x:t xml:space="preserve">FP8/Q8_0/INT8</x:t>
        </x:is>
      </x:c>
      <x:c s="15" r="N127" t="n">
        <x:v>66</x:v>
      </x:c>
      <x:c s="14" r="O127" t="inlineStr">
        <x:is>
          <x:t xml:space="preserve">FP8/Q8_0/INT8</x:t>
        </x:is>
      </x:c>
      <x:c s="15" r="P127" t="n">
        <x:v>66</x:v>
      </x:c>
      <x:c s="14" r="Q127" t="inlineStr">
        <x:is>
          <x:t xml:space="preserve">Comfortable</x:t>
        </x:is>
      </x:c>
      <x:c s="18" r="R127" t="inlineStr">
        <x:is>
          <x:t xml:space="preserve">Sparse MoE checkpoint.</x:t>
        </x:is>
      </x:c>
      <x:c s="14" r="S127" t="inlineStr">
        <x:is>
          <x:t xml:space="preserve">current_repo_page_2026-03-27</x:t>
        </x:is>
      </x:c>
      <x:c s="17" r="T127" t="inlineStr">
        <x:is>
          <x:t xml:space="preserve">https://huggingface.co/mistralai</x:t>
        </x:is>
      </x:c>
      <x:c s="14" r="U127" t="inlineStr">
        <x:is>
          <x:t xml:space="preserve">Transformers; GGUF</x:t>
        </x:is>
      </x:c>
      <x:c s="15" r="V127" t="n">
        <x:v>128.1</x:v>
      </x:c>
      <x:c s="15" r="W127" t="n">
        <x:v>66</x:v>
      </x:c>
      <x:c s="15" r="X127" t="n">
        <x:v>50.5</x:v>
      </x:c>
      <x:c s="15" r="Y127" t="n">
        <x:v>42.8</x:v>
      </x:c>
      <x:c s="15" r="Z127" t="n">
        <x:v>35</x:v>
      </x:c>
      <x:c s="15" r="AA127" t="n">
        <x:v>27.3</x:v>
      </x:c>
      <x:c s="15" r="AB127" t="n">
        <x:v>19.5</x:v>
      </x:c>
    </x:row>
    <x:row r="128">
      <x:c r="A128" t="inlineStr">
        <x:is>
          <x:t xml:space="preserve">Mistral</x:t>
        </x:is>
      </x:c>
      <x:c s="14" r="B128" t="inlineStr">
        <x:is>
          <x:t xml:space="preserve">mistralai/Devstral-Small-2-24B-Instruct-2512</x:t>
        </x:is>
      </x:c>
      <x:c s="14" r="C128" t="inlineStr">
        <x:is>
          <x:t xml:space="preserve">Devstral-Small-2-24B-Instruct-2512</x:t>
        </x:is>
      </x:c>
      <x:c s="15" r="D128" t="n">
        <x:v>24</x:v>
      </x:c>
      <x:c s="15" r="E128"/>
      <x:c s="14" r="F128" t="inlineStr">
        <x:is>
          <x:t xml:space="preserve">coding / agents</x:t>
        </x:is>
      </x:c>
      <x:c s="14" r="G128" t="inlineStr">
        <x:is>
          <x:t xml:space="preserve">text</x:t>
        </x:is>
      </x:c>
      <x:c r="H128" t="inlineStr">
        <x:is>
          <x:t xml:space="preserve">instruct</x:t>
        </x:is>
      </x:c>
      <x:c r="I128" t="inlineStr">
        <x:is>
          <x:t xml:space="preserve">Dense</x:t>
        </x:is>
      </x:c>
      <x:c s="16" r="J128" t="inlineStr">
        <x:is>
          <x:t xml:space="preserve">open</x:t>
        </x:is>
      </x:c>
      <x:c s="17" r="K128" t="inlineStr">
        <x:is>
          <x:t xml:space="preserve">https://huggingface.co/mistralai/Devstral-Small-2-24B-Instruct-2512</x:t>
        </x:is>
      </x:c>
      <x:c s="17" r="L128" t="inlineStr">
        <x:is>
          <x:t xml:space="preserve"/>
        </x:is>
      </x:c>
      <x:c s="14" r="M128" t="inlineStr">
        <x:is>
          <x:t xml:space="preserve">BF16/FP16</x:t>
        </x:is>
      </x:c>
      <x:c s="15" r="N128" t="n">
        <x:v>64.7</x:v>
      </x:c>
      <x:c s="14" r="O128" t="inlineStr">
        <x:is>
          <x:t xml:space="preserve">BF16/FP16</x:t>
        </x:is>
      </x:c>
      <x:c s="15" r="P128" t="n">
        <x:v>64.7</x:v>
      </x:c>
      <x:c s="14" r="Q128" t="inlineStr">
        <x:is>
          <x:t xml:space="preserve">Comfortable</x:t>
        </x:is>
      </x:c>
      <x:c s="18" r="R128" t="inlineStr">
        <x:is>
          <x:t xml:space="preserve">24B Devstral generation.</x:t>
        </x:is>
      </x:c>
      <x:c s="14" r="S128" t="inlineStr">
        <x:is>
          <x:t xml:space="preserve">current_family_page_2026-03-27</x:t>
        </x:is>
      </x:c>
      <x:c s="17" r="T128" t="inlineStr">
        <x:is>
          <x:t xml:space="preserve">https://huggingface.co/mistralai</x:t>
        </x:is>
      </x:c>
      <x:c s="14" r="U128" t="inlineStr">
        <x:is>
          <x:t xml:space="preserve">Transformers; GGUF</x:t>
        </x:is>
      </x:c>
      <x:c s="15" r="V128" t="n">
        <x:v>64.7</x:v>
      </x:c>
      <x:c s="15" r="W128" t="n">
        <x:v>34.4</x:v>
      </x:c>
      <x:c s="15" r="X128" t="n">
        <x:v>26.8</x:v>
      </x:c>
      <x:c s="15" r="Y128" t="n">
        <x:v>23</x:v>
      </x:c>
      <x:c s="15" r="Z128" t="n">
        <x:v>19.2</x:v>
      </x:c>
      <x:c s="15" r="AA128" t="n">
        <x:v>15.4</x:v>
      </x:c>
      <x:c s="15" r="AB128" t="n">
        <x:v>11.6</x:v>
      </x:c>
    </x:row>
    <x:row r="129">
      <x:c r="A129" t="inlineStr">
        <x:is>
          <x:t xml:space="preserve">Mistral</x:t>
        </x:is>
      </x:c>
      <x:c s="14" r="B129" t="inlineStr">
        <x:is>
          <x:t xml:space="preserve">mistralai/Devstral-Small-2505</x:t>
        </x:is>
      </x:c>
      <x:c s="14" r="C129" t="inlineStr">
        <x:is>
          <x:t xml:space="preserve">Devstral-Small-2505</x:t>
        </x:is>
      </x:c>
      <x:c s="15" r="D129" t="n">
        <x:v>24</x:v>
      </x:c>
      <x:c s="15" r="E129"/>
      <x:c s="14" r="F129" t="inlineStr">
        <x:is>
          <x:t xml:space="preserve">coding / agents</x:t>
        </x:is>
      </x:c>
      <x:c s="14" r="G129" t="inlineStr">
        <x:is>
          <x:t xml:space="preserve">text</x:t>
        </x:is>
      </x:c>
      <x:c r="H129" t="inlineStr">
        <x:is>
          <x:t xml:space="preserve">instruct</x:t>
        </x:is>
      </x:c>
      <x:c r="I129" t="inlineStr">
        <x:is>
          <x:t xml:space="preserve">Dense</x:t>
        </x:is>
      </x:c>
      <x:c s="16" r="J129" t="inlineStr">
        <x:is>
          <x:t xml:space="preserve">open</x:t>
        </x:is>
      </x:c>
      <x:c s="17" r="K129" t="inlineStr">
        <x:is>
          <x:t xml:space="preserve">https://huggingface.co/mistralai/Devstral-Small-2505</x:t>
        </x:is>
      </x:c>
      <x:c s="17" r="L129" t="inlineStr">
        <x:is>
          <x:t xml:space="preserve">https://huggingface.co/mistralai/Devstral-Small-2505_gguf</x:t>
        </x:is>
      </x:c>
      <x:c s="14" r="M129" t="inlineStr">
        <x:is>
          <x:t xml:space="preserve">BF16/FP16</x:t>
        </x:is>
      </x:c>
      <x:c s="15" r="N129" t="n">
        <x:v>64.7</x:v>
      </x:c>
      <x:c s="14" r="O129" t="inlineStr">
        <x:is>
          <x:t xml:space="preserve">BF16/FP16</x:t>
        </x:is>
      </x:c>
      <x:c s="15" r="P129" t="n">
        <x:v>64.7</x:v>
      </x:c>
      <x:c s="14" r="Q129" t="inlineStr">
        <x:is>
          <x:t xml:space="preserve">Comfortable</x:t>
        </x:is>
      </x:c>
      <x:c s="18" r="R129" t="inlineStr">
        <x:is>
          <x:t xml:space="preserve">Local-friendly Devstral small release.</x:t>
        </x:is>
      </x:c>
      <x:c s="14" r="S129" t="inlineStr">
        <x:is>
          <x:t xml:space="preserve">stable_series_pattern</x:t>
        </x:is>
      </x:c>
      <x:c s="17" r="T129" t="inlineStr">
        <x:is>
          <x:t xml:space="preserve">https://huggingface.co/mistralai</x:t>
        </x:is>
      </x:c>
      <x:c s="14" r="U129" t="inlineStr">
        <x:is>
          <x:t xml:space="preserve">Transformers; GGUF</x:t>
        </x:is>
      </x:c>
      <x:c s="15" r="V129" t="n">
        <x:v>64.7</x:v>
      </x:c>
      <x:c s="15" r="W129" t="n">
        <x:v>34.4</x:v>
      </x:c>
      <x:c s="15" r="X129" t="n">
        <x:v>26.8</x:v>
      </x:c>
      <x:c s="15" r="Y129" t="n">
        <x:v>23</x:v>
      </x:c>
      <x:c s="15" r="Z129" t="n">
        <x:v>19.2</x:v>
      </x:c>
      <x:c s="15" r="AA129" t="n">
        <x:v>15.4</x:v>
      </x:c>
      <x:c s="15" r="AB129" t="n">
        <x:v>11.6</x:v>
      </x:c>
    </x:row>
    <x:row r="130">
      <x:c r="A130" t="inlineStr">
        <x:is>
          <x:t xml:space="preserve">Mistral</x:t>
        </x:is>
      </x:c>
      <x:c s="14" r="B130" t="inlineStr">
        <x:is>
          <x:t xml:space="preserve">mistralai/Devstral-Small-2507</x:t>
        </x:is>
      </x:c>
      <x:c s="14" r="C130" t="inlineStr">
        <x:is>
          <x:t xml:space="preserve">Devstral-Small-2507</x:t>
        </x:is>
      </x:c>
      <x:c s="15" r="D130" t="n">
        <x:v>24</x:v>
      </x:c>
      <x:c s="15" r="E130"/>
      <x:c s="14" r="F130" t="inlineStr">
        <x:is>
          <x:t xml:space="preserve">coding / agents</x:t>
        </x:is>
      </x:c>
      <x:c s="14" r="G130" t="inlineStr">
        <x:is>
          <x:t xml:space="preserve">text</x:t>
        </x:is>
      </x:c>
      <x:c r="H130" t="inlineStr">
        <x:is>
          <x:t xml:space="preserve">instruct</x:t>
        </x:is>
      </x:c>
      <x:c r="I130" t="inlineStr">
        <x:is>
          <x:t xml:space="preserve">Dense</x:t>
        </x:is>
      </x:c>
      <x:c s="16" r="J130" t="inlineStr">
        <x:is>
          <x:t xml:space="preserve">open</x:t>
        </x:is>
      </x:c>
      <x:c s="17" r="K130" t="inlineStr">
        <x:is>
          <x:t xml:space="preserve">https://huggingface.co/mistralai/Devstral-Small-2507</x:t>
        </x:is>
      </x:c>
      <x:c s="17" r="L130" t="inlineStr">
        <x:is>
          <x:t xml:space="preserve">https://huggingface.co/mistralai/Devstral-Small-2507_gguf</x:t>
        </x:is>
      </x:c>
      <x:c s="14" r="M130" t="inlineStr">
        <x:is>
          <x:t xml:space="preserve">BF16/FP16</x:t>
        </x:is>
      </x:c>
      <x:c s="15" r="N130" t="n">
        <x:v>64.7</x:v>
      </x:c>
      <x:c s="14" r="O130" t="inlineStr">
        <x:is>
          <x:t xml:space="preserve">BF16/FP16</x:t>
        </x:is>
      </x:c>
      <x:c s="15" r="P130" t="n">
        <x:v>64.7</x:v>
      </x:c>
      <x:c s="14" r="Q130" t="inlineStr">
        <x:is>
          <x:t xml:space="preserve">Comfortable</x:t>
        </x:is>
      </x:c>
      <x:c s="18" r="R130" t="inlineStr">
        <x:is>
          <x:t xml:space="preserve">Local-friendly Devstral small release.</x:t>
        </x:is>
      </x:c>
      <x:c s="14" r="S130" t="inlineStr">
        <x:is>
          <x:t xml:space="preserve">current_repo_page_2026-03-27</x:t>
        </x:is>
      </x:c>
      <x:c s="17" r="T130" t="inlineStr">
        <x:is>
          <x:t xml:space="preserve">https://huggingface.co/mistralai</x:t>
        </x:is>
      </x:c>
      <x:c s="14" r="U130" t="inlineStr">
        <x:is>
          <x:t xml:space="preserve">Transformers; GGUF</x:t>
        </x:is>
      </x:c>
      <x:c s="15" r="V130" t="n">
        <x:v>64.7</x:v>
      </x:c>
      <x:c s="15" r="W130" t="n">
        <x:v>34.4</x:v>
      </x:c>
      <x:c s="15" r="X130" t="n">
        <x:v>26.8</x:v>
      </x:c>
      <x:c s="15" r="Y130" t="n">
        <x:v>23</x:v>
      </x:c>
      <x:c s="15" r="Z130" t="n">
        <x:v>19.2</x:v>
      </x:c>
      <x:c s="15" r="AA130" t="n">
        <x:v>15.4</x:v>
      </x:c>
      <x:c s="15" r="AB130" t="n">
        <x:v>11.6</x:v>
      </x:c>
    </x:row>
    <x:row r="131">
      <x:c r="A131" t="inlineStr">
        <x:is>
          <x:t xml:space="preserve">Mistral</x:t>
        </x:is>
      </x:c>
      <x:c s="14" r="B131" t="inlineStr">
        <x:is>
          <x:t xml:space="preserve">mistralai/Magistral-Small-2506</x:t>
        </x:is>
      </x:c>
      <x:c s="14" r="C131" t="inlineStr">
        <x:is>
          <x:t xml:space="preserve">Magistral-Small-2506</x:t>
        </x:is>
      </x:c>
      <x:c s="15" r="D131" t="n">
        <x:v>24</x:v>
      </x:c>
      <x:c s="15" r="E131"/>
      <x:c s="14" r="F131" t="inlineStr">
        <x:is>
          <x:t xml:space="preserve">reasoning</x:t>
        </x:is>
      </x:c>
      <x:c s="14" r="G131" t="inlineStr">
        <x:is>
          <x:t xml:space="preserve">text</x:t>
        </x:is>
      </x:c>
      <x:c r="H131" t="inlineStr">
        <x:is>
          <x:t xml:space="preserve">reasoning</x:t>
        </x:is>
      </x:c>
      <x:c r="I131" t="inlineStr">
        <x:is>
          <x:t xml:space="preserve">Dense</x:t>
        </x:is>
      </x:c>
      <x:c s="16" r="J131" t="inlineStr">
        <x:is>
          <x:t xml:space="preserve">open</x:t>
        </x:is>
      </x:c>
      <x:c s="17" r="K131" t="inlineStr">
        <x:is>
          <x:t xml:space="preserve">https://huggingface.co/mistralai/Magistral-Small-2506</x:t>
        </x:is>
      </x:c>
      <x:c s="17" r="L131" t="inlineStr">
        <x:is>
          <x:t xml:space="preserve"/>
        </x:is>
      </x:c>
      <x:c s="14" r="M131" t="inlineStr">
        <x:is>
          <x:t xml:space="preserve">BF16/FP16</x:t>
        </x:is>
      </x:c>
      <x:c s="15" r="N131" t="n">
        <x:v>64.7</x:v>
      </x:c>
      <x:c s="14" r="O131" t="inlineStr">
        <x:is>
          <x:t xml:space="preserve">BF16/FP16</x:t>
        </x:is>
      </x:c>
      <x:c s="15" r="P131" t="n">
        <x:v>64.7</x:v>
      </x:c>
      <x:c s="14" r="Q131" t="inlineStr">
        <x:is>
          <x:t xml:space="preserve">Comfortable</x:t>
        </x:is>
      </x:c>
      <x:c s="18" r="R131" t="inlineStr">
        <x:is>
          <x:t xml:space="preserve">Reasoning-focused 24B model.</x:t>
        </x:is>
      </x:c>
      <x:c s="14" r="S131" t="inlineStr">
        <x:is>
          <x:t xml:space="preserve">stable_series_pattern</x:t>
        </x:is>
      </x:c>
      <x:c s="17" r="T131" t="inlineStr">
        <x:is>
          <x:t xml:space="preserve">https://huggingface.co/mistralai</x:t>
        </x:is>
      </x:c>
      <x:c s="14" r="U131" t="inlineStr">
        <x:is>
          <x:t xml:space="preserve">Transformers; GGUF</x:t>
        </x:is>
      </x:c>
      <x:c s="15" r="V131" t="n">
        <x:v>64.7</x:v>
      </x:c>
      <x:c s="15" r="W131" t="n">
        <x:v>34.4</x:v>
      </x:c>
      <x:c s="15" r="X131" t="n">
        <x:v>26.8</x:v>
      </x:c>
      <x:c s="15" r="Y131" t="n">
        <x:v>23</x:v>
      </x:c>
      <x:c s="15" r="Z131" t="n">
        <x:v>19.2</x:v>
      </x:c>
      <x:c s="15" r="AA131" t="n">
        <x:v>15.4</x:v>
      </x:c>
      <x:c s="15" r="AB131" t="n">
        <x:v>11.6</x:v>
      </x:c>
    </x:row>
    <x:row r="132">
      <x:c r="A132" t="inlineStr">
        <x:is>
          <x:t xml:space="preserve">Mistral</x:t>
        </x:is>
      </x:c>
      <x:c s="14" r="B132" t="inlineStr">
        <x:is>
          <x:t xml:space="preserve">mistralai/Magistral-Small-2507</x:t>
        </x:is>
      </x:c>
      <x:c s="14" r="C132" t="inlineStr">
        <x:is>
          <x:t xml:space="preserve">Magistral-Small-2507</x:t>
        </x:is>
      </x:c>
      <x:c s="15" r="D132" t="n">
        <x:v>24</x:v>
      </x:c>
      <x:c s="15" r="E132"/>
      <x:c s="14" r="F132" t="inlineStr">
        <x:is>
          <x:t xml:space="preserve">reasoning</x:t>
        </x:is>
      </x:c>
      <x:c s="14" r="G132" t="inlineStr">
        <x:is>
          <x:t xml:space="preserve">text</x:t>
        </x:is>
      </x:c>
      <x:c r="H132" t="inlineStr">
        <x:is>
          <x:t xml:space="preserve">reasoning</x:t>
        </x:is>
      </x:c>
      <x:c r="I132" t="inlineStr">
        <x:is>
          <x:t xml:space="preserve">Dense</x:t>
        </x:is>
      </x:c>
      <x:c s="16" r="J132" t="inlineStr">
        <x:is>
          <x:t xml:space="preserve">open</x:t>
        </x:is>
      </x:c>
      <x:c s="17" r="K132" t="inlineStr">
        <x:is>
          <x:t xml:space="preserve">https://huggingface.co/mistralai/Magistral-Small-2507</x:t>
        </x:is>
      </x:c>
      <x:c s="17" r="L132" t="inlineStr">
        <x:is>
          <x:t xml:space="preserve"/>
        </x:is>
      </x:c>
      <x:c s="14" r="M132" t="inlineStr">
        <x:is>
          <x:t xml:space="preserve">BF16/FP16</x:t>
        </x:is>
      </x:c>
      <x:c s="15" r="N132" t="n">
        <x:v>64.7</x:v>
      </x:c>
      <x:c s="14" r="O132" t="inlineStr">
        <x:is>
          <x:t xml:space="preserve">BF16/FP16</x:t>
        </x:is>
      </x:c>
      <x:c s="15" r="P132" t="n">
        <x:v>64.7</x:v>
      </x:c>
      <x:c s="14" r="Q132" t="inlineStr">
        <x:is>
          <x:t xml:space="preserve">Comfortable</x:t>
        </x:is>
      </x:c>
      <x:c s="18" r="R132" t="inlineStr">
        <x:is>
          <x:t xml:space="preserve">Reasoning-focused 24B model.</x:t>
        </x:is>
      </x:c>
      <x:c s="14" r="S132" t="inlineStr">
        <x:is>
          <x:t xml:space="preserve">stable_series_pattern</x:t>
        </x:is>
      </x:c>
      <x:c s="17" r="T132" t="inlineStr">
        <x:is>
          <x:t xml:space="preserve">https://huggingface.co/mistralai</x:t>
        </x:is>
      </x:c>
      <x:c s="14" r="U132" t="inlineStr">
        <x:is>
          <x:t xml:space="preserve">Transformers; GGUF</x:t>
        </x:is>
      </x:c>
      <x:c s="15" r="V132" t="n">
        <x:v>64.7</x:v>
      </x:c>
      <x:c s="15" r="W132" t="n">
        <x:v>34.4</x:v>
      </x:c>
      <x:c s="15" r="X132" t="n">
        <x:v>26.8</x:v>
      </x:c>
      <x:c s="15" r="Y132" t="n">
        <x:v>23</x:v>
      </x:c>
      <x:c s="15" r="Z132" t="n">
        <x:v>19.2</x:v>
      </x:c>
      <x:c s="15" r="AA132" t="n">
        <x:v>15.4</x:v>
      </x:c>
      <x:c s="15" r="AB132" t="n">
        <x:v>11.6</x:v>
      </x:c>
    </x:row>
    <x:row r="133">
      <x:c r="A133" t="inlineStr">
        <x:is>
          <x:t xml:space="preserve">Mistral</x:t>
        </x:is>
      </x:c>
      <x:c s="14" r="B133" t="inlineStr">
        <x:is>
          <x:t xml:space="preserve">mistralai/Magistral-Small-2509</x:t>
        </x:is>
      </x:c>
      <x:c s="14" r="C133" t="inlineStr">
        <x:is>
          <x:t xml:space="preserve">Magistral-Small-2509</x:t>
        </x:is>
      </x:c>
      <x:c s="15" r="D133" t="n">
        <x:v>24</x:v>
      </x:c>
      <x:c s="15" r="E133"/>
      <x:c s="14" r="F133" t="inlineStr">
        <x:is>
          <x:t xml:space="preserve">reasoning</x:t>
        </x:is>
      </x:c>
      <x:c s="14" r="G133" t="inlineStr">
        <x:is>
          <x:t xml:space="preserve">text</x:t>
        </x:is>
      </x:c>
      <x:c r="H133" t="inlineStr">
        <x:is>
          <x:t xml:space="preserve">reasoning</x:t>
        </x:is>
      </x:c>
      <x:c r="I133" t="inlineStr">
        <x:is>
          <x:t xml:space="preserve">Dense</x:t>
        </x:is>
      </x:c>
      <x:c s="16" r="J133" t="inlineStr">
        <x:is>
          <x:t xml:space="preserve">open</x:t>
        </x:is>
      </x:c>
      <x:c s="17" r="K133" t="inlineStr">
        <x:is>
          <x:t xml:space="preserve">https://huggingface.co/mistralai/Magistral-Small-2509</x:t>
        </x:is>
      </x:c>
      <x:c s="17" r="L133" t="inlineStr">
        <x:is>
          <x:t xml:space="preserve">https://huggingface.co/mistralai/Magistral-Small-2509-GGUF</x:t>
        </x:is>
      </x:c>
      <x:c s="14" r="M133" t="inlineStr">
        <x:is>
          <x:t xml:space="preserve">BF16/FP16</x:t>
        </x:is>
      </x:c>
      <x:c s="15" r="N133" t="n">
        <x:v>64.7</x:v>
      </x:c>
      <x:c s="14" r="O133" t="inlineStr">
        <x:is>
          <x:t xml:space="preserve">BF16/FP16</x:t>
        </x:is>
      </x:c>
      <x:c s="15" r="P133" t="n">
        <x:v>64.7</x:v>
      </x:c>
      <x:c s="14" r="Q133" t="inlineStr">
        <x:is>
          <x:t xml:space="preserve">Comfortable</x:t>
        </x:is>
      </x:c>
      <x:c s="18" r="R133" t="inlineStr">
        <x:is>
          <x:t xml:space="preserve">Reasoning-focused 24B model; official GGUF repo available.</x:t>
        </x:is>
      </x:c>
      <x:c s="14" r="S133" t="inlineStr">
        <x:is>
          <x:t xml:space="preserve">current_repo_page_2026-03-27</x:t>
        </x:is>
      </x:c>
      <x:c s="17" r="T133" t="inlineStr">
        <x:is>
          <x:t xml:space="preserve">https://huggingface.co/mistralai</x:t>
        </x:is>
      </x:c>
      <x:c s="14" r="U133" t="inlineStr">
        <x:is>
          <x:t xml:space="preserve">Transformers; GGUF</x:t>
        </x:is>
      </x:c>
      <x:c s="15" r="V133" t="n">
        <x:v>64.7</x:v>
      </x:c>
      <x:c s="15" r="W133" t="n">
        <x:v>34.4</x:v>
      </x:c>
      <x:c s="15" r="X133" t="n">
        <x:v>26.8</x:v>
      </x:c>
      <x:c s="15" r="Y133" t="n">
        <x:v>23</x:v>
      </x:c>
      <x:c s="15" r="Z133" t="n">
        <x:v>19.2</x:v>
      </x:c>
      <x:c s="15" r="AA133" t="n">
        <x:v>15.4</x:v>
      </x:c>
      <x:c s="15" r="AB133" t="n">
        <x:v>11.6</x:v>
      </x:c>
    </x:row>
    <x:row r="134">
      <x:c r="A134" t="inlineStr">
        <x:is>
          <x:t xml:space="preserve">Mistral</x:t>
        </x:is>
      </x:c>
      <x:c s="14" r="B134" t="inlineStr">
        <x:is>
          <x:t xml:space="preserve">mistralai/Mistral-Small-24B-Base-2501</x:t>
        </x:is>
      </x:c>
      <x:c s="14" r="C134" t="inlineStr">
        <x:is>
          <x:t xml:space="preserve">Mistral-Small-24B-Base-2501</x:t>
        </x:is>
      </x:c>
      <x:c s="15" r="D134" t="n">
        <x:v>24</x:v>
      </x:c>
      <x:c s="15" r="E134"/>
      <x:c s="14" r="F134" t="inlineStr">
        <x:is>
          <x:t xml:space="preserve">general</x:t>
        </x:is>
      </x:c>
      <x:c s="14" r="G134" t="inlineStr">
        <x:is>
          <x:t xml:space="preserve">text</x:t>
        </x:is>
      </x:c>
      <x:c r="H134" t="inlineStr">
        <x:is>
          <x:t xml:space="preserve">base</x:t>
        </x:is>
      </x:c>
      <x:c r="I134" t="inlineStr">
        <x:is>
          <x:t xml:space="preserve">Dense</x:t>
        </x:is>
      </x:c>
      <x:c s="16" r="J134" t="inlineStr">
        <x:is>
          <x:t xml:space="preserve">open</x:t>
        </x:is>
      </x:c>
      <x:c s="17" r="K134" t="inlineStr">
        <x:is>
          <x:t xml:space="preserve">https://huggingface.co/mistralai/Mistral-Small-24B-Base-2501</x:t>
        </x:is>
      </x:c>
      <x:c s="17" r="L134" t="inlineStr">
        <x:is>
          <x:t xml:space="preserve"/>
        </x:is>
      </x:c>
      <x:c s="14" r="M134" t="inlineStr">
        <x:is>
          <x:t xml:space="preserve">BF16/FP16</x:t>
        </x:is>
      </x:c>
      <x:c s="15" r="N134" t="n">
        <x:v>64.7</x:v>
      </x:c>
      <x:c s="14" r="O134" t="inlineStr">
        <x:is>
          <x:t xml:space="preserve">BF16/FP16</x:t>
        </x:is>
      </x:c>
      <x:c s="15" r="P134" t="n">
        <x:v>64.7</x:v>
      </x:c>
      <x:c s="14" r="Q134" t="inlineStr">
        <x:is>
          <x:t xml:space="preserve">Comfortable</x:t>
        </x:is>
      </x:c>
      <x:c s="18" r="R134" t="inlineStr">
        <x:is>
          <x:t xml:space="preserve">24B dense base model.</x:t>
        </x:is>
      </x:c>
      <x:c s="14" r="S134" t="inlineStr">
        <x:is>
          <x:t xml:space="preserve">stable_series_pattern</x:t>
        </x:is>
      </x:c>
      <x:c s="17" r="T134" t="inlineStr">
        <x:is>
          <x:t xml:space="preserve">https://huggingface.co/mistralai</x:t>
        </x:is>
      </x:c>
      <x:c s="14" r="U134" t="inlineStr">
        <x:is>
          <x:t xml:space="preserve">Transformers; GGUF</x:t>
        </x:is>
      </x:c>
      <x:c s="15" r="V134" t="n">
        <x:v>64.7</x:v>
      </x:c>
      <x:c s="15" r="W134" t="n">
        <x:v>34.4</x:v>
      </x:c>
      <x:c s="15" r="X134" t="n">
        <x:v>26.8</x:v>
      </x:c>
      <x:c s="15" r="Y134" t="n">
        <x:v>23</x:v>
      </x:c>
      <x:c s="15" r="Z134" t="n">
        <x:v>19.2</x:v>
      </x:c>
      <x:c s="15" r="AA134" t="n">
        <x:v>15.4</x:v>
      </x:c>
      <x:c s="15" r="AB134" t="n">
        <x:v>11.6</x:v>
      </x:c>
    </x:row>
    <x:row r="135">
      <x:c r="A135" t="inlineStr">
        <x:is>
          <x:t xml:space="preserve">Mistral</x:t>
        </x:is>
      </x:c>
      <x:c s="14" r="B135" t="inlineStr">
        <x:is>
          <x:t xml:space="preserve">mistralai/Mistral-Small-24B-Instruct-2501</x:t>
        </x:is>
      </x:c>
      <x:c s="14" r="C135" t="inlineStr">
        <x:is>
          <x:t xml:space="preserve">Mistral-Small-24B-Instruct-2501</x:t>
        </x:is>
      </x:c>
      <x:c s="15" r="D135" t="n">
        <x:v>24</x:v>
      </x:c>
      <x:c s="15" r="E135"/>
      <x:c s="14" r="F135" t="inlineStr">
        <x:is>
          <x:t xml:space="preserve">general chat</x:t>
        </x:is>
      </x:c>
      <x:c s="14" r="G135" t="inlineStr">
        <x:is>
          <x:t xml:space="preserve">text</x:t>
        </x:is>
      </x:c>
      <x:c r="H135" t="inlineStr">
        <x:is>
          <x:t xml:space="preserve">instruct</x:t>
        </x:is>
      </x:c>
      <x:c r="I135" t="inlineStr">
        <x:is>
          <x:t xml:space="preserve">Dense</x:t>
        </x:is>
      </x:c>
      <x:c s="16" r="J135" t="inlineStr">
        <x:is>
          <x:t xml:space="preserve">open</x:t>
        </x:is>
      </x:c>
      <x:c s="17" r="K135" t="inlineStr">
        <x:is>
          <x:t xml:space="preserve">https://huggingface.co/mistralai/Mistral-Small-24B-Instruct-2501</x:t>
        </x:is>
      </x:c>
      <x:c s="17" r="L135" t="inlineStr">
        <x:is>
          <x:t xml:space="preserve"/>
        </x:is>
      </x:c>
      <x:c s="14" r="M135" t="inlineStr">
        <x:is>
          <x:t xml:space="preserve">BF16/FP16</x:t>
        </x:is>
      </x:c>
      <x:c s="15" r="N135" t="n">
        <x:v>64.7</x:v>
      </x:c>
      <x:c s="14" r="O135" t="inlineStr">
        <x:is>
          <x:t xml:space="preserve">BF16/FP16</x:t>
        </x:is>
      </x:c>
      <x:c s="15" r="P135" t="n">
        <x:v>64.7</x:v>
      </x:c>
      <x:c s="14" r="Q135" t="inlineStr">
        <x:is>
          <x:t xml:space="preserve">Comfortable</x:t>
        </x:is>
      </x:c>
      <x:c s="18" r="R135" t="inlineStr">
        <x:is>
          <x:t xml:space="preserve">24B dense instruct model.</x:t>
        </x:is>
      </x:c>
      <x:c s="14" r="S135" t="inlineStr">
        <x:is>
          <x:t xml:space="preserve">current_repo_page_2026-03-27</x:t>
        </x:is>
      </x:c>
      <x:c s="17" r="T135" t="inlineStr">
        <x:is>
          <x:t xml:space="preserve">https://huggingface.co/mistralai</x:t>
        </x:is>
      </x:c>
      <x:c s="14" r="U135" t="inlineStr">
        <x:is>
          <x:t xml:space="preserve">Transformers; GGUF</x:t>
        </x:is>
      </x:c>
      <x:c s="15" r="V135" t="n">
        <x:v>64.7</x:v>
      </x:c>
      <x:c s="15" r="W135" t="n">
        <x:v>34.4</x:v>
      </x:c>
      <x:c s="15" r="X135" t="n">
        <x:v>26.8</x:v>
      </x:c>
      <x:c s="15" r="Y135" t="n">
        <x:v>23</x:v>
      </x:c>
      <x:c s="15" r="Z135" t="n">
        <x:v>19.2</x:v>
      </x:c>
      <x:c s="15" r="AA135" t="n">
        <x:v>15.4</x:v>
      </x:c>
      <x:c s="15" r="AB135" t="n">
        <x:v>11.6</x:v>
      </x:c>
    </x:row>
    <x:row r="136">
      <x:c r="A136" t="inlineStr">
        <x:is>
          <x:t xml:space="preserve">Mistral</x:t>
        </x:is>
      </x:c>
      <x:c s="14" r="B136" t="inlineStr">
        <x:is>
          <x:t xml:space="preserve">mistralai/Mistral-Small-3.1-24B-Base-2503</x:t>
        </x:is>
      </x:c>
      <x:c s="14" r="C136" t="inlineStr">
        <x:is>
          <x:t xml:space="preserve">Mistral-Small-3.1-24B-Base-2503</x:t>
        </x:is>
      </x:c>
      <x:c s="15" r="D136" t="n">
        <x:v>24</x:v>
      </x:c>
      <x:c s="15" r="E136"/>
      <x:c s="14" r="F136" t="inlineStr">
        <x:is>
          <x:t xml:space="preserve">general</x:t>
        </x:is>
      </x:c>
      <x:c s="14" r="G136" t="inlineStr">
        <x:is>
          <x:t xml:space="preserve">text</x:t>
        </x:is>
      </x:c>
      <x:c r="H136" t="inlineStr">
        <x:is>
          <x:t xml:space="preserve">base</x:t>
        </x:is>
      </x:c>
      <x:c r="I136" t="inlineStr">
        <x:is>
          <x:t xml:space="preserve">Dense</x:t>
        </x:is>
      </x:c>
      <x:c s="16" r="J136" t="inlineStr">
        <x:is>
          <x:t xml:space="preserve">open</x:t>
        </x:is>
      </x:c>
      <x:c s="17" r="K136" t="inlineStr">
        <x:is>
          <x:t xml:space="preserve">https://huggingface.co/mistralai/Mistral-Small-3.1-24B-Base-2503</x:t>
        </x:is>
      </x:c>
      <x:c s="17" r="L136" t="inlineStr">
        <x:is>
          <x:t xml:space="preserve"/>
        </x:is>
      </x:c>
      <x:c s="14" r="M136" t="inlineStr">
        <x:is>
          <x:t xml:space="preserve">BF16/FP16</x:t>
        </x:is>
      </x:c>
      <x:c s="15" r="N136" t="n">
        <x:v>64.7</x:v>
      </x:c>
      <x:c s="14" r="O136" t="inlineStr">
        <x:is>
          <x:t xml:space="preserve">BF16/FP16</x:t>
        </x:is>
      </x:c>
      <x:c s="15" r="P136" t="n">
        <x:v>64.7</x:v>
      </x:c>
      <x:c s="14" r="Q136" t="inlineStr">
        <x:is>
          <x:t xml:space="preserve">Comfortable</x:t>
        </x:is>
      </x:c>
      <x:c s="18" r="R136" t="inlineStr">
        <x:is>
          <x:t xml:space="preserve">24B dense base model.</x:t>
        </x:is>
      </x:c>
      <x:c s="14" r="S136" t="inlineStr">
        <x:is>
          <x:t xml:space="preserve">stable_series_pattern</x:t>
        </x:is>
      </x:c>
      <x:c s="17" r="T136" t="inlineStr">
        <x:is>
          <x:t xml:space="preserve">https://huggingface.co/mistralai</x:t>
        </x:is>
      </x:c>
      <x:c s="14" r="U136" t="inlineStr">
        <x:is>
          <x:t xml:space="preserve">Transformers; GGUF</x:t>
        </x:is>
      </x:c>
      <x:c s="15" r="V136" t="n">
        <x:v>64.7</x:v>
      </x:c>
      <x:c s="15" r="W136" t="n">
        <x:v>34.4</x:v>
      </x:c>
      <x:c s="15" r="X136" t="n">
        <x:v>26.8</x:v>
      </x:c>
      <x:c s="15" r="Y136" t="n">
        <x:v>23</x:v>
      </x:c>
      <x:c s="15" r="Z136" t="n">
        <x:v>19.2</x:v>
      </x:c>
      <x:c s="15" r="AA136" t="n">
        <x:v>15.4</x:v>
      </x:c>
      <x:c s="15" r="AB136" t="n">
        <x:v>11.6</x:v>
      </x:c>
    </x:row>
    <x:row r="137">
      <x:c r="A137" t="inlineStr">
        <x:is>
          <x:t xml:space="preserve">Mistral</x:t>
        </x:is>
      </x:c>
      <x:c s="14" r="B137" t="inlineStr">
        <x:is>
          <x:t xml:space="preserve">mistralai/Codestral-22B-v0.1</x:t>
        </x:is>
      </x:c>
      <x:c s="14" r="C137" t="inlineStr">
        <x:is>
          <x:t xml:space="preserve">Codestral-22B-v0.1</x:t>
        </x:is>
      </x:c>
      <x:c s="15" r="D137" t="n">
        <x:v>22</x:v>
      </x:c>
      <x:c s="15" r="E137"/>
      <x:c s="14" r="F137" t="inlineStr">
        <x:is>
          <x:t xml:space="preserve">coding</x:t>
        </x:is>
      </x:c>
      <x:c s="14" r="G137" t="inlineStr">
        <x:is>
          <x:t xml:space="preserve">text</x:t>
        </x:is>
      </x:c>
      <x:c r="H137" t="inlineStr">
        <x:is>
          <x:t xml:space="preserve">base</x:t>
        </x:is>
      </x:c>
      <x:c r="I137" t="inlineStr">
        <x:is>
          <x:t xml:space="preserve">Dense</x:t>
        </x:is>
      </x:c>
      <x:c s="16" r="J137" t="inlineStr">
        <x:is>
          <x:t xml:space="preserve">open</x:t>
        </x:is>
      </x:c>
      <x:c s="17" r="K137" t="inlineStr">
        <x:is>
          <x:t xml:space="preserve">https://huggingface.co/mistralai/Codestral-22B-v0.1</x:t>
        </x:is>
      </x:c>
      <x:c s="17" r="L137" t="inlineStr">
        <x:is>
          <x:t xml:space="preserve"/>
        </x:is>
      </x:c>
      <x:c s="14" r="M137" t="inlineStr">
        <x:is>
          <x:t xml:space="preserve">BF16/FP16</x:t>
        </x:is>
      </x:c>
      <x:c s="15" r="N137" t="n">
        <x:v>59.7</x:v>
      </x:c>
      <x:c s="14" r="O137" t="inlineStr">
        <x:is>
          <x:t xml:space="preserve">BF16/FP16</x:t>
        </x:is>
      </x:c>
      <x:c s="15" r="P137" t="n">
        <x:v>59.7</x:v>
      </x:c>
      <x:c s="14" r="Q137" t="inlineStr">
        <x:is>
          <x:t xml:space="preserve">Comfortable</x:t>
        </x:is>
      </x:c>
      <x:c s="18" r="R137" t="inlineStr">
        <x:is>
          <x:t xml:space="preserve">Code-specialized dense model.</x:t>
        </x:is>
      </x:c>
      <x:c s="14" r="S137" t="inlineStr">
        <x:is>
          <x:t xml:space="preserve">current_repo_page_2026-03-27</x:t>
        </x:is>
      </x:c>
      <x:c s="17" r="T137" t="inlineStr">
        <x:is>
          <x:t xml:space="preserve">https://huggingface.co/mistralai</x:t>
        </x:is>
      </x:c>
      <x:c s="14" r="U137" t="inlineStr">
        <x:is>
          <x:t xml:space="preserve">Transformers; GGUF</x:t>
        </x:is>
      </x:c>
      <x:c s="15" r="V137" t="n">
        <x:v>59.7</x:v>
      </x:c>
      <x:c s="15" r="W137" t="n">
        <x:v>31.8</x:v>
      </x:c>
      <x:c s="15" r="X137" t="n">
        <x:v>24.9</x:v>
      </x:c>
      <x:c s="15" r="Y137" t="n">
        <x:v>21.4</x:v>
      </x:c>
      <x:c s="15" r="Z137" t="n">
        <x:v>17.9</x:v>
      </x:c>
      <x:c s="15" r="AA137" t="n">
        <x:v>14.4</x:v>
      </x:c>
      <x:c s="15" r="AB137" t="n">
        <x:v>11</x:v>
      </x:c>
    </x:row>
    <x:row r="138">
      <x:c r="A138" t="inlineStr">
        <x:is>
          <x:t xml:space="preserve">Mistral</x:t>
        </x:is>
      </x:c>
      <x:c s="14" r="B138" t="inlineStr">
        <x:is>
          <x:t xml:space="preserve">mistralai/Ministral-3-14B-Base-2512</x:t>
        </x:is>
      </x:c>
      <x:c s="14" r="C138" t="inlineStr">
        <x:is>
          <x:t xml:space="preserve">Ministral-3-14B-Base-2512</x:t>
        </x:is>
      </x:c>
      <x:c s="15" r="D138" t="n">
        <x:v>14</x:v>
      </x:c>
      <x:c s="15" r="E138"/>
      <x:c s="14" r="F138" t="inlineStr">
        <x:is>
          <x:t xml:space="preserve">multimodal / general</x:t>
        </x:is>
      </x:c>
      <x:c s="14" r="G138" t="inlineStr">
        <x:is>
          <x:t xml:space="preserve">text+vision</x:t>
        </x:is>
      </x:c>
      <x:c r="H138" t="inlineStr">
        <x:is>
          <x:t xml:space="preserve">base</x:t>
        </x:is>
      </x:c>
      <x:c r="I138" t="inlineStr">
        <x:is>
          <x:t xml:space="preserve">Dense</x:t>
        </x:is>
      </x:c>
      <x:c s="16" r="J138" t="inlineStr">
        <x:is>
          <x:t xml:space="preserve">open</x:t>
        </x:is>
      </x:c>
      <x:c s="17" r="K138" t="inlineStr">
        <x:is>
          <x:t xml:space="preserve">https://huggingface.co/mistralai/Ministral-3-14B-Base-2512</x:t>
        </x:is>
      </x:c>
      <x:c s="17" r="L138" t="inlineStr">
        <x:is>
          <x:t xml:space="preserve"/>
        </x:is>
      </x:c>
      <x:c s="14" r="M138" t="inlineStr">
        <x:is>
          <x:t xml:space="preserve">BF16/FP16</x:t>
        </x:is>
      </x:c>
      <x:c s="15" r="N138" t="n">
        <x:v>39.4</x:v>
      </x:c>
      <x:c s="14" r="O138" t="inlineStr">
        <x:is>
          <x:t xml:space="preserve">BF16/FP16</x:t>
        </x:is>
      </x:c>
      <x:c s="15" r="P138" t="n">
        <x:v>39.4</x:v>
      </x:c>
      <x:c s="14" r="Q138" t="inlineStr">
        <x:is>
          <x:t xml:space="preserve">Comfortable</x:t>
        </x:is>
      </x:c>
      <x:c s="18" r="R138" t="inlineStr">
        <x:is>
          <x:t xml:space="preserve">Ministral 3 family.</x:t>
        </x:is>
      </x:c>
      <x:c s="14" r="S138" t="inlineStr">
        <x:is>
          <x:t xml:space="preserve">current_family_page_2026-03-27</x:t>
        </x:is>
      </x:c>
      <x:c s="17" r="T138" t="inlineStr">
        <x:is>
          <x:t xml:space="preserve">https://huggingface.co/collections/mistralai/ministral-3-68517d96ab4d8fb41ff61f08</x:t>
        </x:is>
      </x:c>
      <x:c s="14" r="U138" t="inlineStr">
        <x:is>
          <x:t xml:space="preserve">Transformers; GGUF</x:t>
        </x:is>
      </x:c>
      <x:c s="15" r="V138" t="n">
        <x:v>39.4</x:v>
      </x:c>
      <x:c s="15" r="W138" t="n">
        <x:v>21.7</x:v>
      </x:c>
      <x:c s="15" r="X138" t="n">
        <x:v>17.3</x:v>
      </x:c>
      <x:c s="15" r="Y138" t="n">
        <x:v>15.1</x:v>
      </x:c>
      <x:c s="15" r="Z138" t="n">
        <x:v>12.9</x:v>
      </x:c>
      <x:c s="15" r="AA138" t="n">
        <x:v>10.6</x:v>
      </x:c>
      <x:c s="15" r="AB138" t="n">
        <x:v>8.4</x:v>
      </x:c>
    </x:row>
    <x:row r="139">
      <x:c r="A139" t="inlineStr">
        <x:is>
          <x:t xml:space="preserve">Mistral</x:t>
        </x:is>
      </x:c>
      <x:c s="14" r="B139" t="inlineStr">
        <x:is>
          <x:t xml:space="preserve">mistralai/Ministral-3-14B-Instruct-2512</x:t>
        </x:is>
      </x:c>
      <x:c s="14" r="C139" t="inlineStr">
        <x:is>
          <x:t xml:space="preserve">Ministral-3-14B-Instruct-2512</x:t>
        </x:is>
      </x:c>
      <x:c s="15" r="D139" t="n">
        <x:v>14</x:v>
      </x:c>
      <x:c s="15" r="E139"/>
      <x:c s="14" r="F139" t="inlineStr">
        <x:is>
          <x:t xml:space="preserve">multimodal chat</x:t>
        </x:is>
      </x:c>
      <x:c s="14" r="G139" t="inlineStr">
        <x:is>
          <x:t xml:space="preserve">text+vision</x:t>
        </x:is>
      </x:c>
      <x:c r="H139" t="inlineStr">
        <x:is>
          <x:t xml:space="preserve">instruct</x:t>
        </x:is>
      </x:c>
      <x:c r="I139" t="inlineStr">
        <x:is>
          <x:t xml:space="preserve">Dense</x:t>
        </x:is>
      </x:c>
      <x:c s="16" r="J139" t="inlineStr">
        <x:is>
          <x:t xml:space="preserve">open</x:t>
        </x:is>
      </x:c>
      <x:c s="17" r="K139" t="inlineStr">
        <x:is>
          <x:t xml:space="preserve">https://huggingface.co/mistralai/Ministral-3-14B-Instruct-2512</x:t>
        </x:is>
      </x:c>
      <x:c s="17" r="L139" t="inlineStr">
        <x:is>
          <x:t xml:space="preserve">https://huggingface.co/mistralai/Ministral-3-14B-Instruct-2512-GGUF</x:t>
        </x:is>
      </x:c>
      <x:c s="14" r="M139" t="inlineStr">
        <x:is>
          <x:t xml:space="preserve">BF16/FP16</x:t>
        </x:is>
      </x:c>
      <x:c s="15" r="N139" t="n">
        <x:v>39.4</x:v>
      </x:c>
      <x:c s="14" r="O139" t="inlineStr">
        <x:is>
          <x:t xml:space="preserve">BF16/FP16</x:t>
        </x:is>
      </x:c>
      <x:c s="15" r="P139" t="n">
        <x:v>39.4</x:v>
      </x:c>
      <x:c s="14" r="Q139" t="inlineStr">
        <x:is>
          <x:t xml:space="preserve">Comfortable</x:t>
        </x:is>
      </x:c>
      <x:c s="18" r="R139" t="inlineStr">
        <x:is>
          <x:t xml:space="preserve">Ministral 3 family; official GGUF repo available for instruct/reasoning.</x:t>
        </x:is>
      </x:c>
      <x:c s="14" r="S139" t="inlineStr">
        <x:is>
          <x:t xml:space="preserve">current_family_page_2026-03-27</x:t>
        </x:is>
      </x:c>
      <x:c s="17" r="T139" t="inlineStr">
        <x:is>
          <x:t xml:space="preserve">https://huggingface.co/collections/mistralai/ministral-3-68517d96ab4d8fb41ff61f08</x:t>
        </x:is>
      </x:c>
      <x:c s="14" r="U139" t="inlineStr">
        <x:is>
          <x:t xml:space="preserve">Transformers; GGUF</x:t>
        </x:is>
      </x:c>
      <x:c s="15" r="V139" t="n">
        <x:v>39.4</x:v>
      </x:c>
      <x:c s="15" r="W139" t="n">
        <x:v>21.7</x:v>
      </x:c>
      <x:c s="15" r="X139" t="n">
        <x:v>17.3</x:v>
      </x:c>
      <x:c s="15" r="Y139" t="n">
        <x:v>15.1</x:v>
      </x:c>
      <x:c s="15" r="Z139" t="n">
        <x:v>12.9</x:v>
      </x:c>
      <x:c s="15" r="AA139" t="n">
        <x:v>10.6</x:v>
      </x:c>
      <x:c s="15" r="AB139" t="n">
        <x:v>8.4</x:v>
      </x:c>
    </x:row>
    <x:row r="140">
      <x:c r="A140" t="inlineStr">
        <x:is>
          <x:t xml:space="preserve">Mistral</x:t>
        </x:is>
      </x:c>
      <x:c s="14" r="B140" t="inlineStr">
        <x:is>
          <x:t xml:space="preserve">mistralai/Ministral-3-14B-Reasoning-2512</x:t>
        </x:is>
      </x:c>
      <x:c s="14" r="C140" t="inlineStr">
        <x:is>
          <x:t xml:space="preserve">Ministral-3-14B-Reasoning-2512</x:t>
        </x:is>
      </x:c>
      <x:c s="15" r="D140" t="n">
        <x:v>14</x:v>
      </x:c>
      <x:c s="15" r="E140"/>
      <x:c s="14" r="F140" t="inlineStr">
        <x:is>
          <x:t xml:space="preserve">multimodal reasoning</x:t>
        </x:is>
      </x:c>
      <x:c s="14" r="G140" t="inlineStr">
        <x:is>
          <x:t xml:space="preserve">text+vision</x:t>
        </x:is>
      </x:c>
      <x:c r="H140" t="inlineStr">
        <x:is>
          <x:t xml:space="preserve">reasoning</x:t>
        </x:is>
      </x:c>
      <x:c r="I140" t="inlineStr">
        <x:is>
          <x:t xml:space="preserve">Dense</x:t>
        </x:is>
      </x:c>
      <x:c s="16" r="J140" t="inlineStr">
        <x:is>
          <x:t xml:space="preserve">open</x:t>
        </x:is>
      </x:c>
      <x:c s="17" r="K140" t="inlineStr">
        <x:is>
          <x:t xml:space="preserve">https://huggingface.co/mistralai/Ministral-3-14B-Reasoning-2512</x:t>
        </x:is>
      </x:c>
      <x:c s="17" r="L140" t="inlineStr">
        <x:is>
          <x:t xml:space="preserve">https://huggingface.co/mistralai/Ministral-3-14B-Reasoning-2512-GGUF</x:t>
        </x:is>
      </x:c>
      <x:c s="14" r="M140" t="inlineStr">
        <x:is>
          <x:t xml:space="preserve">BF16/FP16</x:t>
        </x:is>
      </x:c>
      <x:c s="15" r="N140" t="n">
        <x:v>39.4</x:v>
      </x:c>
      <x:c s="14" r="O140" t="inlineStr">
        <x:is>
          <x:t xml:space="preserve">BF16/FP16</x:t>
        </x:is>
      </x:c>
      <x:c s="15" r="P140" t="n">
        <x:v>39.4</x:v>
      </x:c>
      <x:c s="14" r="Q140" t="inlineStr">
        <x:is>
          <x:t xml:space="preserve">Comfortable</x:t>
        </x:is>
      </x:c>
      <x:c s="18" r="R140" t="inlineStr">
        <x:is>
          <x:t xml:space="preserve">Ministral 3 family; official GGUF repo available for instruct/reasoning.</x:t>
        </x:is>
      </x:c>
      <x:c s="14" r="S140" t="inlineStr">
        <x:is>
          <x:t xml:space="preserve">current_family_page_2026-03-27</x:t>
        </x:is>
      </x:c>
      <x:c s="17" r="T140" t="inlineStr">
        <x:is>
          <x:t xml:space="preserve">https://huggingface.co/collections/mistralai/ministral-3-68517d96ab4d8fb41ff61f08</x:t>
        </x:is>
      </x:c>
      <x:c s="14" r="U140" t="inlineStr">
        <x:is>
          <x:t xml:space="preserve">Transformers; GGUF</x:t>
        </x:is>
      </x:c>
      <x:c s="15" r="V140" t="n">
        <x:v>39.4</x:v>
      </x:c>
      <x:c s="15" r="W140" t="n">
        <x:v>21.7</x:v>
      </x:c>
      <x:c s="15" r="X140" t="n">
        <x:v>17.3</x:v>
      </x:c>
      <x:c s="15" r="Y140" t="n">
        <x:v>15.1</x:v>
      </x:c>
      <x:c s="15" r="Z140" t="n">
        <x:v>12.9</x:v>
      </x:c>
      <x:c s="15" r="AA140" t="n">
        <x:v>10.6</x:v>
      </x:c>
      <x:c s="15" r="AB140" t="n">
        <x:v>8.4</x:v>
      </x:c>
    </x:row>
    <x:row r="141">
      <x:c r="A141" t="inlineStr">
        <x:is>
          <x:t xml:space="preserve">Mistral</x:t>
        </x:is>
      </x:c>
      <x:c s="14" r="B141" t="inlineStr">
        <x:is>
          <x:t xml:space="preserve">mistralai/Mistral-Nemo-Base-2407</x:t>
        </x:is>
      </x:c>
      <x:c s="14" r="C141" t="inlineStr">
        <x:is>
          <x:t xml:space="preserve">Mistral Nemo Base 2407</x:t>
        </x:is>
      </x:c>
      <x:c s="15" r="D141" t="n">
        <x:v>12</x:v>
      </x:c>
      <x:c s="15" r="E141"/>
      <x:c s="14" r="F141" t="inlineStr">
        <x:is>
          <x:t xml:space="preserve">general</x:t>
        </x:is>
      </x:c>
      <x:c s="14" r="G141" t="inlineStr">
        <x:is>
          <x:t xml:space="preserve">text</x:t>
        </x:is>
      </x:c>
      <x:c r="H141" t="inlineStr">
        <x:is>
          <x:t xml:space="preserve">base</x:t>
        </x:is>
      </x:c>
      <x:c r="I141" t="inlineStr">
        <x:is>
          <x:t xml:space="preserve">Dense</x:t>
        </x:is>
      </x:c>
      <x:c s="16" r="J141" t="inlineStr">
        <x:is>
          <x:t xml:space="preserve">open</x:t>
        </x:is>
      </x:c>
      <x:c s="17" r="K141" t="inlineStr">
        <x:is>
          <x:t xml:space="preserve">https://huggingface.co/mistralai/Mistral-Nemo-Base-2407</x:t>
        </x:is>
      </x:c>
      <x:c s="17" r="L141" t="inlineStr">
        <x:is>
          <x:t xml:space="preserve"/>
        </x:is>
      </x:c>
      <x:c s="14" r="M141" t="inlineStr">
        <x:is>
          <x:t xml:space="preserve">BF16/FP16</x:t>
        </x:is>
      </x:c>
      <x:c s="15" r="N141" t="n">
        <x:v>34.4</x:v>
      </x:c>
      <x:c s="14" r="O141" t="inlineStr">
        <x:is>
          <x:t xml:space="preserve">BF16/FP16</x:t>
        </x:is>
      </x:c>
      <x:c s="15" r="P141" t="n">
        <x:v>34.4</x:v>
      </x:c>
      <x:c s="14" r="Q141" t="inlineStr">
        <x:is>
          <x:t xml:space="preserve">Comfortable</x:t>
        </x:is>
      </x:c>
      <x:c s="18" r="R141" t="inlineStr">
        <x:is>
          <x:t xml:space="preserve">12B model; official FP8 repo available for instruct.</x:t>
        </x:is>
      </x:c>
      <x:c s="14" r="S141" t="inlineStr">
        <x:is>
          <x:t xml:space="preserve">current_repo_page_2026-03-27</x:t>
        </x:is>
      </x:c>
      <x:c s="17" r="T141" t="inlineStr">
        <x:is>
          <x:t xml:space="preserve">https://huggingface.co/mistralai</x:t>
        </x:is>
      </x:c>
      <x:c s="14" r="U141" t="inlineStr">
        <x:is>
          <x:t xml:space="preserve">Transformers; GGUF</x:t>
        </x:is>
      </x:c>
      <x:c s="15" r="V141" t="n">
        <x:v>34.4</x:v>
      </x:c>
      <x:c s="15" r="W141" t="n">
        <x:v>19.2</x:v>
      </x:c>
      <x:c s="15" r="X141" t="n">
        <x:v>15.4</x:v>
      </x:c>
      <x:c s="15" r="Y141" t="n">
        <x:v>13.5</x:v>
      </x:c>
      <x:c s="15" r="Z141" t="n">
        <x:v>11.6</x:v>
      </x:c>
      <x:c s="15" r="AA141" t="n">
        <x:v>9.7</x:v>
      </x:c>
      <x:c s="15" r="AB141" t="n">
        <x:v>7.8</x:v>
      </x:c>
    </x:row>
    <x:row r="142">
      <x:c r="A142" t="inlineStr">
        <x:is>
          <x:t xml:space="preserve">Mistral</x:t>
        </x:is>
      </x:c>
      <x:c s="14" r="B142" t="inlineStr">
        <x:is>
          <x:t xml:space="preserve">mistralai/Mistral-Nemo-Instruct-2407</x:t>
        </x:is>
      </x:c>
      <x:c s="14" r="C142" t="inlineStr">
        <x:is>
          <x:t xml:space="preserve">Mistral Nemo Instruct 2407</x:t>
        </x:is>
      </x:c>
      <x:c s="15" r="D142" t="n">
        <x:v>12</x:v>
      </x:c>
      <x:c s="15" r="E142"/>
      <x:c s="14" r="F142" t="inlineStr">
        <x:is>
          <x:t xml:space="preserve">general chat</x:t>
        </x:is>
      </x:c>
      <x:c s="14" r="G142" t="inlineStr">
        <x:is>
          <x:t xml:space="preserve">text</x:t>
        </x:is>
      </x:c>
      <x:c r="H142" t="inlineStr">
        <x:is>
          <x:t xml:space="preserve">instruct</x:t>
        </x:is>
      </x:c>
      <x:c r="I142" t="inlineStr">
        <x:is>
          <x:t xml:space="preserve">Dense</x:t>
        </x:is>
      </x:c>
      <x:c s="16" r="J142" t="inlineStr">
        <x:is>
          <x:t xml:space="preserve">open</x:t>
        </x:is>
      </x:c>
      <x:c s="17" r="K142" t="inlineStr">
        <x:is>
          <x:t xml:space="preserve">https://huggingface.co/mistralai/Mistral-Nemo-Instruct-2407</x:t>
        </x:is>
      </x:c>
      <x:c s="17" r="L142" t="inlineStr">
        <x:is>
          <x:t xml:space="preserve">https://huggingface.co/mistralai/Mistral-Nemo-Instruct-FP8-2407</x:t>
        </x:is>
      </x:c>
      <x:c s="14" r="M142" t="inlineStr">
        <x:is>
          <x:t xml:space="preserve">BF16/FP16</x:t>
        </x:is>
      </x:c>
      <x:c s="15" r="N142" t="n">
        <x:v>34.4</x:v>
      </x:c>
      <x:c s="14" r="O142" t="inlineStr">
        <x:is>
          <x:t xml:space="preserve">BF16/FP16</x:t>
        </x:is>
      </x:c>
      <x:c s="15" r="P142" t="n">
        <x:v>34.4</x:v>
      </x:c>
      <x:c s="14" r="Q142" t="inlineStr">
        <x:is>
          <x:t xml:space="preserve">Comfortable</x:t>
        </x:is>
      </x:c>
      <x:c s="18" r="R142" t="inlineStr">
        <x:is>
          <x:t xml:space="preserve">12B model; official FP8 repo available for instruct.</x:t>
        </x:is>
      </x:c>
      <x:c s="14" r="S142" t="inlineStr">
        <x:is>
          <x:t xml:space="preserve">current_repo_page_2026-03-27</x:t>
        </x:is>
      </x:c>
      <x:c s="17" r="T142" t="inlineStr">
        <x:is>
          <x:t xml:space="preserve">https://huggingface.co/mistralai</x:t>
        </x:is>
      </x:c>
      <x:c s="14" r="U142" t="inlineStr">
        <x:is>
          <x:t xml:space="preserve">Transformers; GGUF</x:t>
        </x:is>
      </x:c>
      <x:c s="15" r="V142" t="n">
        <x:v>34.4</x:v>
      </x:c>
      <x:c s="15" r="W142" t="n">
        <x:v>19.2</x:v>
      </x:c>
      <x:c s="15" r="X142" t="n">
        <x:v>15.4</x:v>
      </x:c>
      <x:c s="15" r="Y142" t="n">
        <x:v>13.5</x:v>
      </x:c>
      <x:c s="15" r="Z142" t="n">
        <x:v>11.6</x:v>
      </x:c>
      <x:c s="15" r="AA142" t="n">
        <x:v>9.7</x:v>
      </x:c>
      <x:c s="15" r="AB142" t="n">
        <x:v>7.8</x:v>
      </x:c>
    </x:row>
    <x:row r="143">
      <x:c r="A143" t="inlineStr">
        <x:is>
          <x:t xml:space="preserve">Mistral</x:t>
        </x:is>
      </x:c>
      <x:c s="14" r="B143" t="inlineStr">
        <x:is>
          <x:t xml:space="preserve">mistralai/Pixtral-12B-2409</x:t>
        </x:is>
      </x:c>
      <x:c s="14" r="C143" t="inlineStr">
        <x:is>
          <x:t xml:space="preserve">Pixtral-12B-2409</x:t>
        </x:is>
      </x:c>
      <x:c s="15" r="D143" t="n">
        <x:v>12</x:v>
      </x:c>
      <x:c s="15" r="E143"/>
      <x:c s="14" r="F143" t="inlineStr">
        <x:is>
          <x:t xml:space="preserve">multimodal</x:t>
        </x:is>
      </x:c>
      <x:c s="14" r="G143" t="inlineStr">
        <x:is>
          <x:t xml:space="preserve">text+vision</x:t>
        </x:is>
      </x:c>
      <x:c r="H143" t="inlineStr">
        <x:is>
          <x:t xml:space="preserve">instruct</x:t>
        </x:is>
      </x:c>
      <x:c r="I143" t="inlineStr">
        <x:is>
          <x:t xml:space="preserve">Dense</x:t>
        </x:is>
      </x:c>
      <x:c s="16" r="J143" t="inlineStr">
        <x:is>
          <x:t xml:space="preserve">open</x:t>
        </x:is>
      </x:c>
      <x:c s="17" r="K143" t="inlineStr">
        <x:is>
          <x:t xml:space="preserve">https://huggingface.co/mistralai/Pixtral-12B-2409</x:t>
        </x:is>
      </x:c>
      <x:c s="17" r="L143" t="inlineStr">
        <x:is>
          <x:t xml:space="preserve"/>
        </x:is>
      </x:c>
      <x:c s="14" r="M143" t="inlineStr">
        <x:is>
          <x:t xml:space="preserve">BF16/FP16</x:t>
        </x:is>
      </x:c>
      <x:c s="15" r="N143" t="n">
        <x:v>34.4</x:v>
      </x:c>
      <x:c s="14" r="O143" t="inlineStr">
        <x:is>
          <x:t xml:space="preserve">BF16/FP16</x:t>
        </x:is>
      </x:c>
      <x:c s="15" r="P143" t="n">
        <x:v>34.4</x:v>
      </x:c>
      <x:c s="14" r="Q143" t="inlineStr">
        <x:is>
          <x:t xml:space="preserve">Comfortable</x:t>
        </x:is>
      </x:c>
      <x:c s="18" r="R143" t="inlineStr">
        <x:is>
          <x:t xml:space="preserve">12B multimodal model plus vision encoder.</x:t>
        </x:is>
      </x:c>
      <x:c s="14" r="S143" t="inlineStr">
        <x:is>
          <x:t xml:space="preserve">current_repo_page_2026-03-27</x:t>
        </x:is>
      </x:c>
      <x:c s="17" r="T143" t="inlineStr">
        <x:is>
          <x:t xml:space="preserve">https://huggingface.co/mistralai</x:t>
        </x:is>
      </x:c>
      <x:c s="14" r="U143" t="inlineStr">
        <x:is>
          <x:t xml:space="preserve">Transformers; GGUF</x:t>
        </x:is>
      </x:c>
      <x:c s="15" r="V143" t="n">
        <x:v>34.4</x:v>
      </x:c>
      <x:c s="15" r="W143" t="n">
        <x:v>19.2</x:v>
      </x:c>
      <x:c s="15" r="X143" t="n">
        <x:v>15.4</x:v>
      </x:c>
      <x:c s="15" r="Y143" t="n">
        <x:v>13.5</x:v>
      </x:c>
      <x:c s="15" r="Z143" t="n">
        <x:v>11.6</x:v>
      </x:c>
      <x:c s="15" r="AA143" t="n">
        <x:v>9.7</x:v>
      </x:c>
      <x:c s="15" r="AB143" t="n">
        <x:v>7.8</x:v>
      </x:c>
    </x:row>
    <x:row r="144">
      <x:c r="A144" t="inlineStr">
        <x:is>
          <x:t xml:space="preserve">Mistral</x:t>
        </x:is>
      </x:c>
      <x:c s="14" r="B144" t="inlineStr">
        <x:is>
          <x:t xml:space="preserve">mistralai/Pixtral-12B-Base-2409</x:t>
        </x:is>
      </x:c>
      <x:c s="14" r="C144" t="inlineStr">
        <x:is>
          <x:t xml:space="preserve">Pixtral-12B-Base-2409</x:t>
        </x:is>
      </x:c>
      <x:c s="15" r="D144" t="n">
        <x:v>12</x:v>
      </x:c>
      <x:c s="15" r="E144"/>
      <x:c s="14" r="F144" t="inlineStr">
        <x:is>
          <x:t xml:space="preserve">multimodal</x:t>
        </x:is>
      </x:c>
      <x:c s="14" r="G144" t="inlineStr">
        <x:is>
          <x:t xml:space="preserve">text+vision</x:t>
        </x:is>
      </x:c>
      <x:c r="H144" t="inlineStr">
        <x:is>
          <x:t xml:space="preserve">base</x:t>
        </x:is>
      </x:c>
      <x:c r="I144" t="inlineStr">
        <x:is>
          <x:t xml:space="preserve">Dense</x:t>
        </x:is>
      </x:c>
      <x:c s="16" r="J144" t="inlineStr">
        <x:is>
          <x:t xml:space="preserve">open</x:t>
        </x:is>
      </x:c>
      <x:c s="17" r="K144" t="inlineStr">
        <x:is>
          <x:t xml:space="preserve">https://huggingface.co/mistralai/Pixtral-12B-Base-2409</x:t>
        </x:is>
      </x:c>
      <x:c s="17" r="L144" t="inlineStr">
        <x:is>
          <x:t xml:space="preserve"/>
        </x:is>
      </x:c>
      <x:c s="14" r="M144" t="inlineStr">
        <x:is>
          <x:t xml:space="preserve">BF16/FP16</x:t>
        </x:is>
      </x:c>
      <x:c s="15" r="N144" t="n">
        <x:v>34.4</x:v>
      </x:c>
      <x:c s="14" r="O144" t="inlineStr">
        <x:is>
          <x:t xml:space="preserve">BF16/FP16</x:t>
        </x:is>
      </x:c>
      <x:c s="15" r="P144" t="n">
        <x:v>34.4</x:v>
      </x:c>
      <x:c s="14" r="Q144" t="inlineStr">
        <x:is>
          <x:t xml:space="preserve">Comfortable</x:t>
        </x:is>
      </x:c>
      <x:c s="18" r="R144" t="inlineStr">
        <x:is>
          <x:t xml:space="preserve">12B multimodal base model plus vision encoder.</x:t>
        </x:is>
      </x:c>
      <x:c s="14" r="S144" t="inlineStr">
        <x:is>
          <x:t xml:space="preserve">current_repo_page_2026-03-27</x:t>
        </x:is>
      </x:c>
      <x:c s="17" r="T144" t="inlineStr">
        <x:is>
          <x:t xml:space="preserve">https://huggingface.co/mistralai</x:t>
        </x:is>
      </x:c>
      <x:c s="14" r="U144" t="inlineStr">
        <x:is>
          <x:t xml:space="preserve">Transformers; GGUF</x:t>
        </x:is>
      </x:c>
      <x:c s="15" r="V144" t="n">
        <x:v>34.4</x:v>
      </x:c>
      <x:c s="15" r="W144" t="n">
        <x:v>19.2</x:v>
      </x:c>
      <x:c s="15" r="X144" t="n">
        <x:v>15.4</x:v>
      </x:c>
      <x:c s="15" r="Y144" t="n">
        <x:v>13.5</x:v>
      </x:c>
      <x:c s="15" r="Z144" t="n">
        <x:v>11.6</x:v>
      </x:c>
      <x:c s="15" r="AA144" t="n">
        <x:v>9.7</x:v>
      </x:c>
      <x:c s="15" r="AB144" t="n">
        <x:v>7.8</x:v>
      </x:c>
    </x:row>
    <x:row r="145">
      <x:c r="A145" t="inlineStr">
        <x:is>
          <x:t xml:space="preserve">Mistral</x:t>
        </x:is>
      </x:c>
      <x:c s="14" r="B145" t="inlineStr">
        <x:is>
          <x:t xml:space="preserve">mistralai/Ministral-3-8B-Base-2512</x:t>
        </x:is>
      </x:c>
      <x:c s="14" r="C145" t="inlineStr">
        <x:is>
          <x:t xml:space="preserve">Ministral-3-8B-Base-2512</x:t>
        </x:is>
      </x:c>
      <x:c s="15" r="D145" t="n">
        <x:v>8</x:v>
      </x:c>
      <x:c s="15" r="E145"/>
      <x:c s="14" r="F145" t="inlineStr">
        <x:is>
          <x:t xml:space="preserve">multimodal / general</x:t>
        </x:is>
      </x:c>
      <x:c s="14" r="G145" t="inlineStr">
        <x:is>
          <x:t xml:space="preserve">text+vision</x:t>
        </x:is>
      </x:c>
      <x:c r="H145" t="inlineStr">
        <x:is>
          <x:t xml:space="preserve">base</x:t>
        </x:is>
      </x:c>
      <x:c r="I145" t="inlineStr">
        <x:is>
          <x:t xml:space="preserve">Dense</x:t>
        </x:is>
      </x:c>
      <x:c s="16" r="J145" t="inlineStr">
        <x:is>
          <x:t xml:space="preserve">open</x:t>
        </x:is>
      </x:c>
      <x:c s="17" r="K145" t="inlineStr">
        <x:is>
          <x:t xml:space="preserve">https://huggingface.co/mistralai/Ministral-3-8B-Base-2512</x:t>
        </x:is>
      </x:c>
      <x:c s="17" r="L145" t="inlineStr">
        <x:is>
          <x:t xml:space="preserve"/>
        </x:is>
      </x:c>
      <x:c s="14" r="M145" t="inlineStr">
        <x:is>
          <x:t xml:space="preserve">BF16/FP16</x:t>
        </x:is>
      </x:c>
      <x:c s="15" r="N145" t="n">
        <x:v>24.2</x:v>
      </x:c>
      <x:c s="14" r="O145" t="inlineStr">
        <x:is>
          <x:t xml:space="preserve">BF16/FP16</x:t>
        </x:is>
      </x:c>
      <x:c s="15" r="P145" t="n">
        <x:v>24.2</x:v>
      </x:c>
      <x:c s="14" r="Q145" t="inlineStr">
        <x:is>
          <x:t xml:space="preserve">Comfortable</x:t>
        </x:is>
      </x:c>
      <x:c s="18" r="R145" t="inlineStr">
        <x:is>
          <x:t xml:space="preserve">Ministral 3 family.</x:t>
        </x:is>
      </x:c>
      <x:c s="14" r="S145" t="inlineStr">
        <x:is>
          <x:t xml:space="preserve">current_family_page_2026-03-27</x:t>
        </x:is>
      </x:c>
      <x:c s="17" r="T145" t="inlineStr">
        <x:is>
          <x:t xml:space="preserve">https://huggingface.co/collections/mistralai/ministral-3-68517d96ab4d8fb41ff61f08</x:t>
        </x:is>
      </x:c>
      <x:c s="14" r="U145" t="inlineStr">
        <x:is>
          <x:t xml:space="preserve">Transformers; GGUF</x:t>
        </x:is>
      </x:c>
      <x:c s="15" r="V145" t="n">
        <x:v>24.2</x:v>
      </x:c>
      <x:c s="15" r="W145" t="n">
        <x:v>14.1</x:v>
      </x:c>
      <x:c s="15" r="X145" t="n">
        <x:v>11.6</x:v>
      </x:c>
      <x:c s="15" r="Y145" t="n">
        <x:v>10.3</x:v>
      </x:c>
      <x:c s="15" r="Z145" t="n">
        <x:v>9.1</x:v>
      </x:c>
      <x:c s="15" r="AA145" t="n">
        <x:v>7.8</x:v>
      </x:c>
      <x:c s="15" r="AB145" t="n">
        <x:v>6.5</x:v>
      </x:c>
    </x:row>
    <x:row r="146">
      <x:c r="A146" t="inlineStr">
        <x:is>
          <x:t xml:space="preserve">Mistral</x:t>
        </x:is>
      </x:c>
      <x:c s="14" r="B146" t="inlineStr">
        <x:is>
          <x:t xml:space="preserve">mistralai/Ministral-3-8B-Instruct-2512</x:t>
        </x:is>
      </x:c>
      <x:c s="14" r="C146" t="inlineStr">
        <x:is>
          <x:t xml:space="preserve">Ministral-3-8B-Instruct-2512</x:t>
        </x:is>
      </x:c>
      <x:c s="15" r="D146" t="n">
        <x:v>8</x:v>
      </x:c>
      <x:c s="15" r="E146"/>
      <x:c s="14" r="F146" t="inlineStr">
        <x:is>
          <x:t xml:space="preserve">multimodal chat</x:t>
        </x:is>
      </x:c>
      <x:c s="14" r="G146" t="inlineStr">
        <x:is>
          <x:t xml:space="preserve">text+vision</x:t>
        </x:is>
      </x:c>
      <x:c r="H146" t="inlineStr">
        <x:is>
          <x:t xml:space="preserve">instruct</x:t>
        </x:is>
      </x:c>
      <x:c r="I146" t="inlineStr">
        <x:is>
          <x:t xml:space="preserve">Dense</x:t>
        </x:is>
      </x:c>
      <x:c s="16" r="J146" t="inlineStr">
        <x:is>
          <x:t xml:space="preserve">open</x:t>
        </x:is>
      </x:c>
      <x:c s="17" r="K146" t="inlineStr">
        <x:is>
          <x:t xml:space="preserve">https://huggingface.co/mistralai/Ministral-3-8B-Instruct-2512</x:t>
        </x:is>
      </x:c>
      <x:c s="17" r="L146" t="inlineStr">
        <x:is>
          <x:t xml:space="preserve">https://huggingface.co/mistralai/Ministral-3-8B-Instruct-2512-GGUF</x:t>
        </x:is>
      </x:c>
      <x:c s="14" r="M146" t="inlineStr">
        <x:is>
          <x:t xml:space="preserve">BF16/FP16</x:t>
        </x:is>
      </x:c>
      <x:c s="15" r="N146" t="n">
        <x:v>24.2</x:v>
      </x:c>
      <x:c s="14" r="O146" t="inlineStr">
        <x:is>
          <x:t xml:space="preserve">BF16/FP16</x:t>
        </x:is>
      </x:c>
      <x:c s="15" r="P146" t="n">
        <x:v>24.2</x:v>
      </x:c>
      <x:c s="14" r="Q146" t="inlineStr">
        <x:is>
          <x:t xml:space="preserve">Comfortable</x:t>
        </x:is>
      </x:c>
      <x:c s="18" r="R146" t="inlineStr">
        <x:is>
          <x:t xml:space="preserve">Ministral 3 family; official GGUF repo available for instruct/reasoning.</x:t>
        </x:is>
      </x:c>
      <x:c s="14" r="S146" t="inlineStr">
        <x:is>
          <x:t xml:space="preserve">current_family_page_2026-03-27</x:t>
        </x:is>
      </x:c>
      <x:c s="17" r="T146" t="inlineStr">
        <x:is>
          <x:t xml:space="preserve">https://huggingface.co/collections/mistralai/ministral-3-68517d96ab4d8fb41ff61f08</x:t>
        </x:is>
      </x:c>
      <x:c s="14" r="U146" t="inlineStr">
        <x:is>
          <x:t xml:space="preserve">Transformers; GGUF</x:t>
        </x:is>
      </x:c>
      <x:c s="15" r="V146" t="n">
        <x:v>24.2</x:v>
      </x:c>
      <x:c s="15" r="W146" t="n">
        <x:v>14.1</x:v>
      </x:c>
      <x:c s="15" r="X146" t="n">
        <x:v>11.6</x:v>
      </x:c>
      <x:c s="15" r="Y146" t="n">
        <x:v>10.3</x:v>
      </x:c>
      <x:c s="15" r="Z146" t="n">
        <x:v>9.1</x:v>
      </x:c>
      <x:c s="15" r="AA146" t="n">
        <x:v>7.8</x:v>
      </x:c>
      <x:c s="15" r="AB146" t="n">
        <x:v>6.5</x:v>
      </x:c>
    </x:row>
    <x:row r="147">
      <x:c r="A147" t="inlineStr">
        <x:is>
          <x:t xml:space="preserve">Mistral</x:t>
        </x:is>
      </x:c>
      <x:c s="14" r="B147" t="inlineStr">
        <x:is>
          <x:t xml:space="preserve">mistralai/Ministral-3-8B-Reasoning-2512</x:t>
        </x:is>
      </x:c>
      <x:c s="14" r="C147" t="inlineStr">
        <x:is>
          <x:t xml:space="preserve">Ministral-3-8B-Reasoning-2512</x:t>
        </x:is>
      </x:c>
      <x:c s="15" r="D147" t="n">
        <x:v>8</x:v>
      </x:c>
      <x:c s="15" r="E147"/>
      <x:c s="14" r="F147" t="inlineStr">
        <x:is>
          <x:t xml:space="preserve">multimodal reasoning</x:t>
        </x:is>
      </x:c>
      <x:c s="14" r="G147" t="inlineStr">
        <x:is>
          <x:t xml:space="preserve">text+vision</x:t>
        </x:is>
      </x:c>
      <x:c r="H147" t="inlineStr">
        <x:is>
          <x:t xml:space="preserve">reasoning</x:t>
        </x:is>
      </x:c>
      <x:c r="I147" t="inlineStr">
        <x:is>
          <x:t xml:space="preserve">Dense</x:t>
        </x:is>
      </x:c>
      <x:c s="16" r="J147" t="inlineStr">
        <x:is>
          <x:t xml:space="preserve">open</x:t>
        </x:is>
      </x:c>
      <x:c s="17" r="K147" t="inlineStr">
        <x:is>
          <x:t xml:space="preserve">https://huggingface.co/mistralai/Ministral-3-8B-Reasoning-2512</x:t>
        </x:is>
      </x:c>
      <x:c s="17" r="L147" t="inlineStr">
        <x:is>
          <x:t xml:space="preserve">https://huggingface.co/mistralai/Ministral-3-8B-Reasoning-2512-GGUF</x:t>
        </x:is>
      </x:c>
      <x:c s="14" r="M147" t="inlineStr">
        <x:is>
          <x:t xml:space="preserve">BF16/FP16</x:t>
        </x:is>
      </x:c>
      <x:c s="15" r="N147" t="n">
        <x:v>24.2</x:v>
      </x:c>
      <x:c s="14" r="O147" t="inlineStr">
        <x:is>
          <x:t xml:space="preserve">BF16/FP16</x:t>
        </x:is>
      </x:c>
      <x:c s="15" r="P147" t="n">
        <x:v>24.2</x:v>
      </x:c>
      <x:c s="14" r="Q147" t="inlineStr">
        <x:is>
          <x:t xml:space="preserve">Comfortable</x:t>
        </x:is>
      </x:c>
      <x:c s="18" r="R147" t="inlineStr">
        <x:is>
          <x:t xml:space="preserve">Ministral 3 family; official GGUF repo available for instruct/reasoning.</x:t>
        </x:is>
      </x:c>
      <x:c s="14" r="S147" t="inlineStr">
        <x:is>
          <x:t xml:space="preserve">current_family_page_2026-03-27</x:t>
        </x:is>
      </x:c>
      <x:c s="17" r="T147" t="inlineStr">
        <x:is>
          <x:t xml:space="preserve">https://huggingface.co/collections/mistralai/ministral-3-68517d96ab4d8fb41ff61f08</x:t>
        </x:is>
      </x:c>
      <x:c s="14" r="U147" t="inlineStr">
        <x:is>
          <x:t xml:space="preserve">Transformers; GGUF</x:t>
        </x:is>
      </x:c>
      <x:c s="15" r="V147" t="n">
        <x:v>24.2</x:v>
      </x:c>
      <x:c s="15" r="W147" t="n">
        <x:v>14.1</x:v>
      </x:c>
      <x:c s="15" r="X147" t="n">
        <x:v>11.6</x:v>
      </x:c>
      <x:c s="15" r="Y147" t="n">
        <x:v>10.3</x:v>
      </x:c>
      <x:c s="15" r="Z147" t="n">
        <x:v>9.1</x:v>
      </x:c>
      <x:c s="15" r="AA147" t="n">
        <x:v>7.8</x:v>
      </x:c>
      <x:c s="15" r="AB147" t="n">
        <x:v>6.5</x:v>
      </x:c>
    </x:row>
    <x:row r="148">
      <x:c r="A148" t="inlineStr">
        <x:is>
          <x:t xml:space="preserve">Mistral</x:t>
        </x:is>
      </x:c>
      <x:c s="14" r="B148" t="inlineStr">
        <x:is>
          <x:t xml:space="preserve">mistralai/Mamba-Codestral-7B-v0.1</x:t>
        </x:is>
      </x:c>
      <x:c s="14" r="C148" t="inlineStr">
        <x:is>
          <x:t xml:space="preserve">Mamba-Codestral-7B-v0.1</x:t>
        </x:is>
      </x:c>
      <x:c s="15" r="D148" t="n">
        <x:v>7</x:v>
      </x:c>
      <x:c s="15" r="E148"/>
      <x:c s="14" r="F148" t="inlineStr">
        <x:is>
          <x:t xml:space="preserve">coding</x:t>
        </x:is>
      </x:c>
      <x:c s="14" r="G148" t="inlineStr">
        <x:is>
          <x:t xml:space="preserve">text</x:t>
        </x:is>
      </x:c>
      <x:c r="H148" t="inlineStr">
        <x:is>
          <x:t xml:space="preserve">base</x:t>
        </x:is>
      </x:c>
      <x:c r="I148" t="inlineStr">
        <x:is>
          <x:t xml:space="preserve">SSM</x:t>
        </x:is>
      </x:c>
      <x:c s="16" r="J148" t="inlineStr">
        <x:is>
          <x:t xml:space="preserve">open</x:t>
        </x:is>
      </x:c>
      <x:c s="17" r="K148" t="inlineStr">
        <x:is>
          <x:t xml:space="preserve">https://huggingface.co/mistralai/Mamba-Codestral-7B-v0.1</x:t>
        </x:is>
      </x:c>
      <x:c s="17" r="L148" t="inlineStr">
        <x:is>
          <x:t xml:space="preserve"/>
        </x:is>
      </x:c>
      <x:c s="14" r="M148" t="inlineStr">
        <x:is>
          <x:t xml:space="preserve">BF16/FP16</x:t>
        </x:is>
      </x:c>
      <x:c s="15" r="N148" t="n">
        <x:v>21.7</x:v>
      </x:c>
      <x:c s="14" r="O148" t="inlineStr">
        <x:is>
          <x:t xml:space="preserve">BF16/FP16</x:t>
        </x:is>
      </x:c>
      <x:c s="15" r="P148" t="n">
        <x:v>21.7</x:v>
      </x:c>
      <x:c s="14" r="Q148" t="inlineStr">
        <x:is>
          <x:t xml:space="preserve">Comfortable</x:t>
        </x:is>
      </x:c>
      <x:c s="18" r="R148" t="inlineStr">
        <x:is>
          <x:t xml:space="preserve">State-space coding model.</x:t>
        </x:is>
      </x:c>
      <x:c s="14" r="S148" t="inlineStr">
        <x:is>
          <x:t xml:space="preserve">stable_series_pattern</x:t>
        </x:is>
      </x:c>
      <x:c s="17" r="T148" t="inlineStr">
        <x:is>
          <x:t xml:space="preserve">https://huggingface.co/mistralai</x:t>
        </x:is>
      </x:c>
      <x:c s="14" r="U148" t="inlineStr">
        <x:is>
          <x:t xml:space="preserve">Transformers; GGUF</x:t>
        </x:is>
      </x:c>
      <x:c s="15" r="V148" t="n">
        <x:v>21.7</x:v>
      </x:c>
      <x:c s="15" r="W148" t="n">
        <x:v>12.9</x:v>
      </x:c>
      <x:c s="15" r="X148" t="n">
        <x:v>10.6</x:v>
      </x:c>
      <x:c s="15" r="Y148" t="n">
        <x:v>9.5</x:v>
      </x:c>
      <x:c s="15" r="Z148" t="n">
        <x:v>8.4</x:v>
      </x:c>
      <x:c s="15" r="AA148" t="n">
        <x:v>7.3</x:v>
      </x:c>
      <x:c s="15" r="AB148" t="n">
        <x:v>6.2</x:v>
      </x:c>
    </x:row>
    <x:row r="149">
      <x:c r="A149" t="inlineStr">
        <x:is>
          <x:t xml:space="preserve">Mistral</x:t>
        </x:is>
      </x:c>
      <x:c s="14" r="B149" t="inlineStr">
        <x:is>
          <x:t xml:space="preserve">mistralai/Mistral-7B-Instruct-v0.1</x:t>
        </x:is>
      </x:c>
      <x:c s="14" r="C149" t="inlineStr">
        <x:is>
          <x:t xml:space="preserve">Mistral 7B Instruct v0.1</x:t>
        </x:is>
      </x:c>
      <x:c s="15" r="D149" t="n">
        <x:v>7</x:v>
      </x:c>
      <x:c s="15" r="E149"/>
      <x:c s="14" r="F149" t="inlineStr">
        <x:is>
          <x:t xml:space="preserve">general chat</x:t>
        </x:is>
      </x:c>
      <x:c s="14" r="G149" t="inlineStr">
        <x:is>
          <x:t xml:space="preserve">text</x:t>
        </x:is>
      </x:c>
      <x:c r="H149" t="inlineStr">
        <x:is>
          <x:t xml:space="preserve">instruct</x:t>
        </x:is>
      </x:c>
      <x:c r="I149" t="inlineStr">
        <x:is>
          <x:t xml:space="preserve">Dense</x:t>
        </x:is>
      </x:c>
      <x:c s="16" r="J149" t="inlineStr">
        <x:is>
          <x:t xml:space="preserve">open</x:t>
        </x:is>
      </x:c>
      <x:c s="17" r="K149" t="inlineStr">
        <x:is>
          <x:t xml:space="preserve">https://huggingface.co/mistralai/Mistral-7B-Instruct-v0.1</x:t>
        </x:is>
      </x:c>
      <x:c s="17" r="L149" t="inlineStr">
        <x:is>
          <x:t xml:space="preserve"/>
        </x:is>
      </x:c>
      <x:c s="14" r="M149" t="inlineStr">
        <x:is>
          <x:t xml:space="preserve">BF16/FP16</x:t>
        </x:is>
      </x:c>
      <x:c s="15" r="N149" t="n">
        <x:v>21.7</x:v>
      </x:c>
      <x:c s="14" r="O149" t="inlineStr">
        <x:is>
          <x:t xml:space="preserve">BF16/FP16</x:t>
        </x:is>
      </x:c>
      <x:c s="15" r="P149" t="n">
        <x:v>21.7</x:v>
      </x:c>
      <x:c s="14" r="Q149" t="inlineStr">
        <x:is>
          <x:t xml:space="preserve">Comfortable</x:t>
        </x:is>
      </x:c>
      <x:c s="18" r="R149" t="inlineStr">
        <x:is>
          <x:t xml:space="preserve">Legacy but still common local baseline.</x:t>
        </x:is>
      </x:c>
      <x:c s="14" r="S149" t="inlineStr">
        <x:is>
          <x:t xml:space="preserve">stable_series_pattern</x:t>
        </x:is>
      </x:c>
      <x:c s="17" r="T149" t="inlineStr">
        <x:is>
          <x:t xml:space="preserve">https://huggingface.co/mistralai</x:t>
        </x:is>
      </x:c>
      <x:c s="14" r="U149" t="inlineStr">
        <x:is>
          <x:t xml:space="preserve">Transformers; GGUF</x:t>
        </x:is>
      </x:c>
      <x:c s="15" r="V149" t="n">
        <x:v>21.7</x:v>
      </x:c>
      <x:c s="15" r="W149" t="n">
        <x:v>12.9</x:v>
      </x:c>
      <x:c s="15" r="X149" t="n">
        <x:v>10.6</x:v>
      </x:c>
      <x:c s="15" r="Y149" t="n">
        <x:v>9.5</x:v>
      </x:c>
      <x:c s="15" r="Z149" t="n">
        <x:v>8.4</x:v>
      </x:c>
      <x:c s="15" r="AA149" t="n">
        <x:v>7.3</x:v>
      </x:c>
      <x:c s="15" r="AB149" t="n">
        <x:v>6.2</x:v>
      </x:c>
    </x:row>
    <x:row r="150">
      <x:c r="A150" t="inlineStr">
        <x:is>
          <x:t xml:space="preserve">Mistral</x:t>
        </x:is>
      </x:c>
      <x:c s="14" r="B150" t="inlineStr">
        <x:is>
          <x:t xml:space="preserve">mistralai/Mistral-7B-Instruct-v0.2</x:t>
        </x:is>
      </x:c>
      <x:c s="14" r="C150" t="inlineStr">
        <x:is>
          <x:t xml:space="preserve">Mistral 7B Instruct v0.2</x:t>
        </x:is>
      </x:c>
      <x:c s="15" r="D150" t="n">
        <x:v>7</x:v>
      </x:c>
      <x:c s="15" r="E150"/>
      <x:c s="14" r="F150" t="inlineStr">
        <x:is>
          <x:t xml:space="preserve">general chat</x:t>
        </x:is>
      </x:c>
      <x:c s="14" r="G150" t="inlineStr">
        <x:is>
          <x:t xml:space="preserve">text</x:t>
        </x:is>
      </x:c>
      <x:c r="H150" t="inlineStr">
        <x:is>
          <x:t xml:space="preserve">instruct</x:t>
        </x:is>
      </x:c>
      <x:c r="I150" t="inlineStr">
        <x:is>
          <x:t xml:space="preserve">Dense</x:t>
        </x:is>
      </x:c>
      <x:c s="16" r="J150" t="inlineStr">
        <x:is>
          <x:t xml:space="preserve">open</x:t>
        </x:is>
      </x:c>
      <x:c s="17" r="K150" t="inlineStr">
        <x:is>
          <x:t xml:space="preserve">https://huggingface.co/mistralai/Mistral-7B-Instruct-v0.2</x:t>
        </x:is>
      </x:c>
      <x:c s="17" r="L150" t="inlineStr">
        <x:is>
          <x:t xml:space="preserve"/>
        </x:is>
      </x:c>
      <x:c s="14" r="M150" t="inlineStr">
        <x:is>
          <x:t xml:space="preserve">BF16/FP16</x:t>
        </x:is>
      </x:c>
      <x:c s="15" r="N150" t="n">
        <x:v>21.7</x:v>
      </x:c>
      <x:c s="14" r="O150" t="inlineStr">
        <x:is>
          <x:t xml:space="preserve">BF16/FP16</x:t>
        </x:is>
      </x:c>
      <x:c s="15" r="P150" t="n">
        <x:v>21.7</x:v>
      </x:c>
      <x:c s="14" r="Q150" t="inlineStr">
        <x:is>
          <x:t xml:space="preserve">Comfortable</x:t>
        </x:is>
      </x:c>
      <x:c s="18" r="R150" t="inlineStr">
        <x:is>
          <x:t xml:space="preserve">Legacy but still common local baseline.</x:t>
        </x:is>
      </x:c>
      <x:c s="14" r="S150" t="inlineStr">
        <x:is>
          <x:t xml:space="preserve">stable_series_pattern</x:t>
        </x:is>
      </x:c>
      <x:c s="17" r="T150" t="inlineStr">
        <x:is>
          <x:t xml:space="preserve">https://huggingface.co/mistralai</x:t>
        </x:is>
      </x:c>
      <x:c s="14" r="U150" t="inlineStr">
        <x:is>
          <x:t xml:space="preserve">Transformers; GGUF</x:t>
        </x:is>
      </x:c>
      <x:c s="15" r="V150" t="n">
        <x:v>21.7</x:v>
      </x:c>
      <x:c s="15" r="W150" t="n">
        <x:v>12.9</x:v>
      </x:c>
      <x:c s="15" r="X150" t="n">
        <x:v>10.6</x:v>
      </x:c>
      <x:c s="15" r="Y150" t="n">
        <x:v>9.5</x:v>
      </x:c>
      <x:c s="15" r="Z150" t="n">
        <x:v>8.4</x:v>
      </x:c>
      <x:c s="15" r="AA150" t="n">
        <x:v>7.3</x:v>
      </x:c>
      <x:c s="15" r="AB150" t="n">
        <x:v>6.2</x:v>
      </x:c>
    </x:row>
    <x:row r="151">
      <x:c r="A151" t="inlineStr">
        <x:is>
          <x:t xml:space="preserve">Mistral</x:t>
        </x:is>
      </x:c>
      <x:c s="14" r="B151" t="inlineStr">
        <x:is>
          <x:t xml:space="preserve">mistralai/Mistral-7B-Instruct-v0.3</x:t>
        </x:is>
      </x:c>
      <x:c s="14" r="C151" t="inlineStr">
        <x:is>
          <x:t xml:space="preserve">Mistral 7B Instruct v0.3</x:t>
        </x:is>
      </x:c>
      <x:c s="15" r="D151" t="n">
        <x:v>7</x:v>
      </x:c>
      <x:c s="15" r="E151"/>
      <x:c s="14" r="F151" t="inlineStr">
        <x:is>
          <x:t xml:space="preserve">general chat</x:t>
        </x:is>
      </x:c>
      <x:c s="14" r="G151" t="inlineStr">
        <x:is>
          <x:t xml:space="preserve">text</x:t>
        </x:is>
      </x:c>
      <x:c r="H151" t="inlineStr">
        <x:is>
          <x:t xml:space="preserve">instruct</x:t>
        </x:is>
      </x:c>
      <x:c r="I151" t="inlineStr">
        <x:is>
          <x:t xml:space="preserve">Dense</x:t>
        </x:is>
      </x:c>
      <x:c s="16" r="J151" t="inlineStr">
        <x:is>
          <x:t xml:space="preserve">open</x:t>
        </x:is>
      </x:c>
      <x:c s="17" r="K151" t="inlineStr">
        <x:is>
          <x:t xml:space="preserve">https://huggingface.co/mistralai/Mistral-7B-Instruct-v0.3</x:t>
        </x:is>
      </x:c>
      <x:c s="17" r="L151" t="inlineStr">
        <x:is>
          <x:t xml:space="preserve"/>
        </x:is>
      </x:c>
      <x:c s="14" r="M151" t="inlineStr">
        <x:is>
          <x:t xml:space="preserve">BF16/FP16</x:t>
        </x:is>
      </x:c>
      <x:c s="15" r="N151" t="n">
        <x:v>21.7</x:v>
      </x:c>
      <x:c s="14" r="O151" t="inlineStr">
        <x:is>
          <x:t xml:space="preserve">BF16/FP16</x:t>
        </x:is>
      </x:c>
      <x:c s="15" r="P151" t="n">
        <x:v>21.7</x:v>
      </x:c>
      <x:c s="14" r="Q151" t="inlineStr">
        <x:is>
          <x:t xml:space="preserve">Comfortable</x:t>
        </x:is>
      </x:c>
      <x:c s="18" r="R151" t="inlineStr">
        <x:is>
          <x:t xml:space="preserve">Legacy but still common local baseline.</x:t>
        </x:is>
      </x:c>
      <x:c s="14" r="S151" t="inlineStr">
        <x:is>
          <x:t xml:space="preserve">stable_series_pattern</x:t>
        </x:is>
      </x:c>
      <x:c s="17" r="T151" t="inlineStr">
        <x:is>
          <x:t xml:space="preserve">https://huggingface.co/mistralai</x:t>
        </x:is>
      </x:c>
      <x:c s="14" r="U151" t="inlineStr">
        <x:is>
          <x:t xml:space="preserve">Transformers; GGUF</x:t>
        </x:is>
      </x:c>
      <x:c s="15" r="V151" t="n">
        <x:v>21.7</x:v>
      </x:c>
      <x:c s="15" r="W151" t="n">
        <x:v>12.9</x:v>
      </x:c>
      <x:c s="15" r="X151" t="n">
        <x:v>10.6</x:v>
      </x:c>
      <x:c s="15" r="Y151" t="n">
        <x:v>9.5</x:v>
      </x:c>
      <x:c s="15" r="Z151" t="n">
        <x:v>8.4</x:v>
      </x:c>
      <x:c s="15" r="AA151" t="n">
        <x:v>7.3</x:v>
      </x:c>
      <x:c s="15" r="AB151" t="n">
        <x:v>6.2</x:v>
      </x:c>
    </x:row>
    <x:row r="152">
      <x:c r="A152" t="inlineStr">
        <x:is>
          <x:t xml:space="preserve">Mistral</x:t>
        </x:is>
      </x:c>
      <x:c s="14" r="B152" t="inlineStr">
        <x:is>
          <x:t xml:space="preserve">mistralai/Mistral-7B-v0.1</x:t>
        </x:is>
      </x:c>
      <x:c s="14" r="C152" t="inlineStr">
        <x:is>
          <x:t xml:space="preserve">Mistral 7B v0.1</x:t>
        </x:is>
      </x:c>
      <x:c s="15" r="D152" t="n">
        <x:v>7</x:v>
      </x:c>
      <x:c s="15" r="E152"/>
      <x:c s="14" r="F152" t="inlineStr">
        <x:is>
          <x:t xml:space="preserve">general</x:t>
        </x:is>
      </x:c>
      <x:c s="14" r="G152" t="inlineStr">
        <x:is>
          <x:t xml:space="preserve">text</x:t>
        </x:is>
      </x:c>
      <x:c r="H152" t="inlineStr">
        <x:is>
          <x:t xml:space="preserve">base</x:t>
        </x:is>
      </x:c>
      <x:c r="I152" t="inlineStr">
        <x:is>
          <x:t xml:space="preserve">Dense</x:t>
        </x:is>
      </x:c>
      <x:c s="16" r="J152" t="inlineStr">
        <x:is>
          <x:t xml:space="preserve">open</x:t>
        </x:is>
      </x:c>
      <x:c s="17" r="K152" t="inlineStr">
        <x:is>
          <x:t xml:space="preserve">https://huggingface.co/mistralai/Mistral-7B-v0.1</x:t>
        </x:is>
      </x:c>
      <x:c s="17" r="L152" t="inlineStr">
        <x:is>
          <x:t xml:space="preserve"/>
        </x:is>
      </x:c>
      <x:c s="14" r="M152" t="inlineStr">
        <x:is>
          <x:t xml:space="preserve">BF16/FP16</x:t>
        </x:is>
      </x:c>
      <x:c s="15" r="N152" t="n">
        <x:v>21.7</x:v>
      </x:c>
      <x:c s="14" r="O152" t="inlineStr">
        <x:is>
          <x:t xml:space="preserve">BF16/FP16</x:t>
        </x:is>
      </x:c>
      <x:c s="15" r="P152" t="n">
        <x:v>21.7</x:v>
      </x:c>
      <x:c s="14" r="Q152" t="inlineStr">
        <x:is>
          <x:t xml:space="preserve">Comfortable</x:t>
        </x:is>
      </x:c>
      <x:c s="18" r="R152" t="inlineStr">
        <x:is>
          <x:t xml:space="preserve">Legacy but still common local baseline.</x:t>
        </x:is>
      </x:c>
      <x:c s="14" r="S152" t="inlineStr">
        <x:is>
          <x:t xml:space="preserve">current_repo_page_2026-03-27</x:t>
        </x:is>
      </x:c>
      <x:c s="17" r="T152" t="inlineStr">
        <x:is>
          <x:t xml:space="preserve">https://huggingface.co/mistralai</x:t>
        </x:is>
      </x:c>
      <x:c s="14" r="U152" t="inlineStr">
        <x:is>
          <x:t xml:space="preserve">Transformers; GGUF</x:t>
        </x:is>
      </x:c>
      <x:c s="15" r="V152" t="n">
        <x:v>21.7</x:v>
      </x:c>
      <x:c s="15" r="W152" t="n">
        <x:v>12.9</x:v>
      </x:c>
      <x:c s="15" r="X152" t="n">
        <x:v>10.6</x:v>
      </x:c>
      <x:c s="15" r="Y152" t="n">
        <x:v>9.5</x:v>
      </x:c>
      <x:c s="15" r="Z152" t="n">
        <x:v>8.4</x:v>
      </x:c>
      <x:c s="15" r="AA152" t="n">
        <x:v>7.3</x:v>
      </x:c>
      <x:c s="15" r="AB152" t="n">
        <x:v>6.2</x:v>
      </x:c>
    </x:row>
    <x:row r="153">
      <x:c r="A153" t="inlineStr">
        <x:is>
          <x:t xml:space="preserve">Mistral</x:t>
        </x:is>
      </x:c>
      <x:c s="14" r="B153" t="inlineStr">
        <x:is>
          <x:t xml:space="preserve">mistralai/Mistral-7B-v0.3</x:t>
        </x:is>
      </x:c>
      <x:c s="14" r="C153" t="inlineStr">
        <x:is>
          <x:t xml:space="preserve">Mistral 7B v0.3</x:t>
        </x:is>
      </x:c>
      <x:c s="15" r="D153" t="n">
        <x:v>7</x:v>
      </x:c>
      <x:c s="15" r="E153"/>
      <x:c s="14" r="F153" t="inlineStr">
        <x:is>
          <x:t xml:space="preserve">general</x:t>
        </x:is>
      </x:c>
      <x:c s="14" r="G153" t="inlineStr">
        <x:is>
          <x:t xml:space="preserve">text</x:t>
        </x:is>
      </x:c>
      <x:c r="H153" t="inlineStr">
        <x:is>
          <x:t xml:space="preserve">base</x:t>
        </x:is>
      </x:c>
      <x:c r="I153" t="inlineStr">
        <x:is>
          <x:t xml:space="preserve">Dense</x:t>
        </x:is>
      </x:c>
      <x:c s="16" r="J153" t="inlineStr">
        <x:is>
          <x:t xml:space="preserve">open</x:t>
        </x:is>
      </x:c>
      <x:c s="17" r="K153" t="inlineStr">
        <x:is>
          <x:t xml:space="preserve">https://huggingface.co/mistralai/Mistral-7B-v0.3</x:t>
        </x:is>
      </x:c>
      <x:c s="17" r="L153" t="inlineStr">
        <x:is>
          <x:t xml:space="preserve"/>
        </x:is>
      </x:c>
      <x:c s="14" r="M153" t="inlineStr">
        <x:is>
          <x:t xml:space="preserve">BF16/FP16</x:t>
        </x:is>
      </x:c>
      <x:c s="15" r="N153" t="n">
        <x:v>21.7</x:v>
      </x:c>
      <x:c s="14" r="O153" t="inlineStr">
        <x:is>
          <x:t xml:space="preserve">BF16/FP16</x:t>
        </x:is>
      </x:c>
      <x:c s="15" r="P153" t="n">
        <x:v>21.7</x:v>
      </x:c>
      <x:c s="14" r="Q153" t="inlineStr">
        <x:is>
          <x:t xml:space="preserve">Comfortable</x:t>
        </x:is>
      </x:c>
      <x:c s="18" r="R153" t="inlineStr">
        <x:is>
          <x:t xml:space="preserve">Legacy but still common local baseline.</x:t>
        </x:is>
      </x:c>
      <x:c s="14" r="S153" t="inlineStr">
        <x:is>
          <x:t xml:space="preserve">stable_series_pattern</x:t>
        </x:is>
      </x:c>
      <x:c s="17" r="T153" t="inlineStr">
        <x:is>
          <x:t xml:space="preserve">https://huggingface.co/mistralai</x:t>
        </x:is>
      </x:c>
      <x:c s="14" r="U153" t="inlineStr">
        <x:is>
          <x:t xml:space="preserve">Transformers; GGUF</x:t>
        </x:is>
      </x:c>
      <x:c s="15" r="V153" t="n">
        <x:v>21.7</x:v>
      </x:c>
      <x:c s="15" r="W153" t="n">
        <x:v>12.9</x:v>
      </x:c>
      <x:c s="15" r="X153" t="n">
        <x:v>10.6</x:v>
      </x:c>
      <x:c s="15" r="Y153" t="n">
        <x:v>9.5</x:v>
      </x:c>
      <x:c s="15" r="Z153" t="n">
        <x:v>8.4</x:v>
      </x:c>
      <x:c s="15" r="AA153" t="n">
        <x:v>7.3</x:v>
      </x:c>
      <x:c s="15" r="AB153" t="n">
        <x:v>6.2</x:v>
      </x:c>
    </x:row>
    <x:row r="154">
      <x:c r="A154" t="inlineStr">
        <x:is>
          <x:t xml:space="preserve">Mistral</x:t>
        </x:is>
      </x:c>
      <x:c s="14" r="B154" t="inlineStr">
        <x:is>
          <x:t xml:space="preserve">mistralai/Ministral-3-3B-Base-2512</x:t>
        </x:is>
      </x:c>
      <x:c s="14" r="C154" t="inlineStr">
        <x:is>
          <x:t xml:space="preserve">Ministral-3-3B-Base-2512</x:t>
        </x:is>
      </x:c>
      <x:c s="15" r="D154" t="n">
        <x:v>3</x:v>
      </x:c>
      <x:c s="15" r="E154"/>
      <x:c s="14" r="F154" t="inlineStr">
        <x:is>
          <x:t xml:space="preserve">multimodal / general</x:t>
        </x:is>
      </x:c>
      <x:c s="14" r="G154" t="inlineStr">
        <x:is>
          <x:t xml:space="preserve">text+vision</x:t>
        </x:is>
      </x:c>
      <x:c r="H154" t="inlineStr">
        <x:is>
          <x:t xml:space="preserve">base</x:t>
        </x:is>
      </x:c>
      <x:c r="I154" t="inlineStr">
        <x:is>
          <x:t xml:space="preserve">Dense</x:t>
        </x:is>
      </x:c>
      <x:c s="16" r="J154" t="inlineStr">
        <x:is>
          <x:t xml:space="preserve">open</x:t>
        </x:is>
      </x:c>
      <x:c s="17" r="K154" t="inlineStr">
        <x:is>
          <x:t xml:space="preserve">https://huggingface.co/mistralai/Ministral-3-3B-Base-2512</x:t>
        </x:is>
      </x:c>
      <x:c s="17" r="L154" t="inlineStr">
        <x:is>
          <x:t xml:space="preserve"/>
        </x:is>
      </x:c>
      <x:c s="14" r="M154" t="inlineStr">
        <x:is>
          <x:t xml:space="preserve">BF16/FP16</x:t>
        </x:is>
      </x:c>
      <x:c s="15" r="N154" t="n">
        <x:v>11.6</x:v>
      </x:c>
      <x:c s="14" r="O154" t="inlineStr">
        <x:is>
          <x:t xml:space="preserve">BF16/FP16</x:t>
        </x:is>
      </x:c>
      <x:c s="15" r="P154" t="n">
        <x:v>11.6</x:v>
      </x:c>
      <x:c s="14" r="Q154" t="inlineStr">
        <x:is>
          <x:t xml:space="preserve">Comfortable</x:t>
        </x:is>
      </x:c>
      <x:c s="18" r="R154" t="inlineStr">
        <x:is>
          <x:t xml:space="preserve">Ministral 3 family.</x:t>
        </x:is>
      </x:c>
      <x:c s="14" r="S154" t="inlineStr">
        <x:is>
          <x:t xml:space="preserve">current_family_page_2026-03-27</x:t>
        </x:is>
      </x:c>
      <x:c s="17" r="T154" t="inlineStr">
        <x:is>
          <x:t xml:space="preserve">https://huggingface.co/collections/mistralai/ministral-3-68517d96ab4d8fb41ff61f08</x:t>
        </x:is>
      </x:c>
      <x:c s="14" r="U154" t="inlineStr">
        <x:is>
          <x:t xml:space="preserve">Transformers; GGUF</x:t>
        </x:is>
      </x:c>
      <x:c s="15" r="V154" t="n">
        <x:v>11.6</x:v>
      </x:c>
      <x:c s="15" r="W154" t="n">
        <x:v>7.8</x:v>
      </x:c>
      <x:c s="15" r="X154" t="n">
        <x:v>6.8</x:v>
      </x:c>
      <x:c s="15" r="Y154" t="n">
        <x:v>6.4</x:v>
      </x:c>
      <x:c s="15" r="Z154" t="n">
        <x:v>5.9</x:v>
      </x:c>
      <x:c s="15" r="AA154" t="n">
        <x:v>5.4</x:v>
      </x:c>
      <x:c s="15" r="AB154" t="n">
        <x:v>4.9</x:v>
      </x:c>
    </x:row>
    <x:row r="155">
      <x:c r="A155" t="inlineStr">
        <x:is>
          <x:t xml:space="preserve">Mistral</x:t>
        </x:is>
      </x:c>
      <x:c s="14" r="B155" t="inlineStr">
        <x:is>
          <x:t xml:space="preserve">mistralai/Ministral-3-3B-Instruct-2512</x:t>
        </x:is>
      </x:c>
      <x:c s="14" r="C155" t="inlineStr">
        <x:is>
          <x:t xml:space="preserve">Ministral-3-3B-Instruct-2512</x:t>
        </x:is>
      </x:c>
      <x:c s="15" r="D155" t="n">
        <x:v>3</x:v>
      </x:c>
      <x:c s="15" r="E155"/>
      <x:c s="14" r="F155" t="inlineStr">
        <x:is>
          <x:t xml:space="preserve">multimodal chat</x:t>
        </x:is>
      </x:c>
      <x:c s="14" r="G155" t="inlineStr">
        <x:is>
          <x:t xml:space="preserve">text+vision</x:t>
        </x:is>
      </x:c>
      <x:c r="H155" t="inlineStr">
        <x:is>
          <x:t xml:space="preserve">instruct</x:t>
        </x:is>
      </x:c>
      <x:c r="I155" t="inlineStr">
        <x:is>
          <x:t xml:space="preserve">Dense</x:t>
        </x:is>
      </x:c>
      <x:c s="16" r="J155" t="inlineStr">
        <x:is>
          <x:t xml:space="preserve">open</x:t>
        </x:is>
      </x:c>
      <x:c s="17" r="K155" t="inlineStr">
        <x:is>
          <x:t xml:space="preserve">https://huggingface.co/mistralai/Ministral-3-3B-Instruct-2512</x:t>
        </x:is>
      </x:c>
      <x:c s="17" r="L155" t="inlineStr">
        <x:is>
          <x:t xml:space="preserve">https://huggingface.co/mistralai/Ministral-3-3B-Instruct-2512-GGUF</x:t>
        </x:is>
      </x:c>
      <x:c s="14" r="M155" t="inlineStr">
        <x:is>
          <x:t xml:space="preserve">BF16/FP16</x:t>
        </x:is>
      </x:c>
      <x:c s="15" r="N155" t="n">
        <x:v>11.6</x:v>
      </x:c>
      <x:c s="14" r="O155" t="inlineStr">
        <x:is>
          <x:t xml:space="preserve">BF16/FP16</x:t>
        </x:is>
      </x:c>
      <x:c s="15" r="P155" t="n">
        <x:v>11.6</x:v>
      </x:c>
      <x:c s="14" r="Q155" t="inlineStr">
        <x:is>
          <x:t xml:space="preserve">Comfortable</x:t>
        </x:is>
      </x:c>
      <x:c s="18" r="R155" t="inlineStr">
        <x:is>
          <x:t xml:space="preserve">Ministral 3 family; official GGUF repo available for instruct/reasoning.</x:t>
        </x:is>
      </x:c>
      <x:c s="14" r="S155" t="inlineStr">
        <x:is>
          <x:t xml:space="preserve">current_family_page_2026-03-27</x:t>
        </x:is>
      </x:c>
      <x:c s="17" r="T155" t="inlineStr">
        <x:is>
          <x:t xml:space="preserve">https://huggingface.co/collections/mistralai/ministral-3-68517d96ab4d8fb41ff61f08</x:t>
        </x:is>
      </x:c>
      <x:c s="14" r="U155" t="inlineStr">
        <x:is>
          <x:t xml:space="preserve">Transformers; GGUF</x:t>
        </x:is>
      </x:c>
      <x:c s="15" r="V155" t="n">
        <x:v>11.6</x:v>
      </x:c>
      <x:c s="15" r="W155" t="n">
        <x:v>7.8</x:v>
      </x:c>
      <x:c s="15" r="X155" t="n">
        <x:v>6.8</x:v>
      </x:c>
      <x:c s="15" r="Y155" t="n">
        <x:v>6.4</x:v>
      </x:c>
      <x:c s="15" r="Z155" t="n">
        <x:v>5.9</x:v>
      </x:c>
      <x:c s="15" r="AA155" t="n">
        <x:v>5.4</x:v>
      </x:c>
      <x:c s="15" r="AB155" t="n">
        <x:v>4.9</x:v>
      </x:c>
    </x:row>
    <x:row r="156">
      <x:c r="A156" t="inlineStr">
        <x:is>
          <x:t xml:space="preserve">Mistral</x:t>
        </x:is>
      </x:c>
      <x:c s="14" r="B156" t="inlineStr">
        <x:is>
          <x:t xml:space="preserve">mistralai/Ministral-3-3B-Reasoning-2512</x:t>
        </x:is>
      </x:c>
      <x:c s="14" r="C156" t="inlineStr">
        <x:is>
          <x:t xml:space="preserve">Ministral-3-3B-Reasoning-2512</x:t>
        </x:is>
      </x:c>
      <x:c s="15" r="D156" t="n">
        <x:v>3</x:v>
      </x:c>
      <x:c s="15" r="E156"/>
      <x:c s="14" r="F156" t="inlineStr">
        <x:is>
          <x:t xml:space="preserve">multimodal reasoning</x:t>
        </x:is>
      </x:c>
      <x:c s="14" r="G156" t="inlineStr">
        <x:is>
          <x:t xml:space="preserve">text+vision</x:t>
        </x:is>
      </x:c>
      <x:c r="H156" t="inlineStr">
        <x:is>
          <x:t xml:space="preserve">reasoning</x:t>
        </x:is>
      </x:c>
      <x:c r="I156" t="inlineStr">
        <x:is>
          <x:t xml:space="preserve">Dense</x:t>
        </x:is>
      </x:c>
      <x:c s="16" r="J156" t="inlineStr">
        <x:is>
          <x:t xml:space="preserve">open</x:t>
        </x:is>
      </x:c>
      <x:c s="17" r="K156" t="inlineStr">
        <x:is>
          <x:t xml:space="preserve">https://huggingface.co/mistralai/Ministral-3-3B-Reasoning-2512</x:t>
        </x:is>
      </x:c>
      <x:c s="17" r="L156" t="inlineStr">
        <x:is>
          <x:t xml:space="preserve">https://huggingface.co/mistralai/Ministral-3-3B-Reasoning-2512-GGUF</x:t>
        </x:is>
      </x:c>
      <x:c s="14" r="M156" t="inlineStr">
        <x:is>
          <x:t xml:space="preserve">BF16/FP16</x:t>
        </x:is>
      </x:c>
      <x:c s="15" r="N156" t="n">
        <x:v>11.6</x:v>
      </x:c>
      <x:c s="14" r="O156" t="inlineStr">
        <x:is>
          <x:t xml:space="preserve">BF16/FP16</x:t>
        </x:is>
      </x:c>
      <x:c s="15" r="P156" t="n">
        <x:v>11.6</x:v>
      </x:c>
      <x:c s="14" r="Q156" t="inlineStr">
        <x:is>
          <x:t xml:space="preserve">Comfortable</x:t>
        </x:is>
      </x:c>
      <x:c s="18" r="R156" t="inlineStr">
        <x:is>
          <x:t xml:space="preserve">Ministral 3 family; official GGUF repo available for instruct/reasoning.</x:t>
        </x:is>
      </x:c>
      <x:c s="14" r="S156" t="inlineStr">
        <x:is>
          <x:t xml:space="preserve">current_family_page_2026-03-27</x:t>
        </x:is>
      </x:c>
      <x:c s="17" r="T156" t="inlineStr">
        <x:is>
          <x:t xml:space="preserve">https://huggingface.co/collections/mistralai/ministral-3-68517d96ab4d8fb41ff61f08</x:t>
        </x:is>
      </x:c>
      <x:c s="14" r="U156" t="inlineStr">
        <x:is>
          <x:t xml:space="preserve">Transformers; GGUF</x:t>
        </x:is>
      </x:c>
      <x:c s="15" r="V156" t="n">
        <x:v>11.6</x:v>
      </x:c>
      <x:c s="15" r="W156" t="n">
        <x:v>7.8</x:v>
      </x:c>
      <x:c s="15" r="X156" t="n">
        <x:v>6.8</x:v>
      </x:c>
      <x:c s="15" r="Y156" t="n">
        <x:v>6.4</x:v>
      </x:c>
      <x:c s="15" r="Z156" t="n">
        <x:v>5.9</x:v>
      </x:c>
      <x:c s="15" r="AA156" t="n">
        <x:v>5.4</x:v>
      </x:c>
      <x:c s="15" r="AB156" t="n">
        <x:v>4.9</x:v>
      </x:c>
    </x:row>
    <x:row r="157">
      <x:c r="A157" t="inlineStr">
        <x:is>
          <x:t xml:space="preserve">Moonshot / Kimi</x:t>
        </x:is>
      </x:c>
      <x:c s="14" r="B157" t="inlineStr">
        <x:is>
          <x:t xml:space="preserve">moonshotai/Kimi-Linear-48B-A3B-Base</x:t>
        </x:is>
      </x:c>
      <x:c s="14" r="C157" t="inlineStr">
        <x:is>
          <x:t xml:space="preserve">Kimi-Linear-48B-A3B-Base</x:t>
        </x:is>
      </x:c>
      <x:c s="15" r="D157" t="n">
        <x:v>48</x:v>
      </x:c>
      <x:c s="15" r="E157" t="n">
        <x:v>3</x:v>
      </x:c>
      <x:c s="14" r="F157" t="inlineStr">
        <x:is>
          <x:t xml:space="preserve">general / long context</x:t>
        </x:is>
      </x:c>
      <x:c s="14" r="G157" t="inlineStr">
        <x:is>
          <x:t xml:space="preserve">text</x:t>
        </x:is>
      </x:c>
      <x:c r="H157" t="inlineStr">
        <x:is>
          <x:t xml:space="preserve">base</x:t>
        </x:is>
      </x:c>
      <x:c r="I157" t="inlineStr">
        <x:is>
          <x:t xml:space="preserve">MoE</x:t>
        </x:is>
      </x:c>
      <x:c s="16" r="J157" t="inlineStr">
        <x:is>
          <x:t xml:space="preserve">open</x:t>
        </x:is>
      </x:c>
      <x:c s="17" r="K157" t="inlineStr">
        <x:is>
          <x:t xml:space="preserve">https://huggingface.co/moonshotai/Kimi-Linear-48B-A3B-Base</x:t>
        </x:is>
      </x:c>
      <x:c s="17" r="L157" t="inlineStr">
        <x:is>
          <x:t xml:space="preserve"/>
        </x:is>
      </x:c>
      <x:c s="14" r="M157" t="inlineStr">
        <x:is>
          <x:t xml:space="preserve">FP8/Q8_0/INT8</x:t>
        </x:is>
      </x:c>
      <x:c s="15" r="N157" t="n">
        <x:v>67.4</x:v>
      </x:c>
      <x:c s="14" r="O157" t="inlineStr">
        <x:is>
          <x:t xml:space="preserve">FP8/Q8_0/INT8</x:t>
        </x:is>
      </x:c>
      <x:c s="15" r="P157" t="n">
        <x:v>67.4</x:v>
      </x:c>
      <x:c s="14" r="Q157" t="inlineStr">
        <x:is>
          <x:t xml:space="preserve">Comfortable</x:t>
        </x:is>
      </x:c>
      <x:c s="18" r="R157" t="inlineStr">
        <x:is>
          <x:t xml:space="preserve">Kimi Linear experimental MoE / linear-attention family.</x:t>
        </x:is>
      </x:c>
      <x:c s="14" r="S157" t="inlineStr">
        <x:is>
          <x:t xml:space="preserve">current_repo_page_2026-04-21</x:t>
        </x:is>
      </x:c>
      <x:c s="17" r="T157" t="inlineStr">
        <x:is>
          <x:t xml:space="preserve">https://huggingface.co/moonshotai</x:t>
        </x:is>
      </x:c>
      <x:c s="14" r="U157" t="inlineStr">
        <x:is>
          <x:t xml:space="preserve">Transformers; community GGUF</x:t>
        </x:is>
      </x:c>
      <x:c s="15" r="V157" t="n">
        <x:v>130.7</x:v>
      </x:c>
      <x:c s="15" r="W157" t="n">
        <x:v>67.4</x:v>
      </x:c>
      <x:c s="15" r="X157" t="n">
        <x:v>51.5</x:v>
      </x:c>
      <x:c s="15" r="Y157" t="n">
        <x:v>43.6</x:v>
      </x:c>
      <x:c s="15" r="Z157" t="n">
        <x:v>35.7</x:v>
      </x:c>
      <x:c s="15" r="AA157" t="n">
        <x:v>27.8</x:v>
      </x:c>
      <x:c s="15" r="AB157" t="n">
        <x:v>19.8</x:v>
      </x:c>
    </x:row>
    <x:row r="158">
      <x:c r="A158" t="inlineStr">
        <x:is>
          <x:t xml:space="preserve">Moonshot / Kimi</x:t>
        </x:is>
      </x:c>
      <x:c s="14" r="B158" t="inlineStr">
        <x:is>
          <x:t xml:space="preserve">moonshotai/Kimi-Linear-48B-A3B-Instruct</x:t>
        </x:is>
      </x:c>
      <x:c s="14" r="C158" t="inlineStr">
        <x:is>
          <x:t xml:space="preserve">Kimi-Linear-48B-A3B-Instruct</x:t>
        </x:is>
      </x:c>
      <x:c s="15" r="D158" t="n">
        <x:v>48</x:v>
      </x:c>
      <x:c s="15" r="E158" t="n">
        <x:v>3</x:v>
      </x:c>
      <x:c s="14" r="F158" t="inlineStr">
        <x:is>
          <x:t xml:space="preserve">general chat / long context</x:t>
        </x:is>
      </x:c>
      <x:c s="14" r="G158" t="inlineStr">
        <x:is>
          <x:t xml:space="preserve">text</x:t>
        </x:is>
      </x:c>
      <x:c r="H158" t="inlineStr">
        <x:is>
          <x:t xml:space="preserve">instruct</x:t>
        </x:is>
      </x:c>
      <x:c r="I158" t="inlineStr">
        <x:is>
          <x:t xml:space="preserve">MoE</x:t>
        </x:is>
      </x:c>
      <x:c s="16" r="J158" t="inlineStr">
        <x:is>
          <x:t xml:space="preserve">open</x:t>
        </x:is>
      </x:c>
      <x:c s="17" r="K158" t="inlineStr">
        <x:is>
          <x:t xml:space="preserve">https://huggingface.co/moonshotai/Kimi-Linear-48B-A3B-Instruct</x:t>
        </x:is>
      </x:c>
      <x:c s="17" r="L158" t="inlineStr">
        <x:is>
          <x:t xml:space="preserve"/>
        </x:is>
      </x:c>
      <x:c s="14" r="M158" t="inlineStr">
        <x:is>
          <x:t xml:space="preserve">FP8/Q8_0/INT8</x:t>
        </x:is>
      </x:c>
      <x:c s="15" r="N158" t="n">
        <x:v>67.4</x:v>
      </x:c>
      <x:c s="14" r="O158" t="inlineStr">
        <x:is>
          <x:t xml:space="preserve">FP8/Q8_0/INT8</x:t>
        </x:is>
      </x:c>
      <x:c s="15" r="P158" t="n">
        <x:v>67.4</x:v>
      </x:c>
      <x:c s="14" r="Q158" t="inlineStr">
        <x:is>
          <x:t xml:space="preserve">Comfortable</x:t>
        </x:is>
      </x:c>
      <x:c s="18" r="R158" t="inlineStr">
        <x:is>
          <x:t xml:space="preserve">Kimi Linear experimental MoE / linear-attention family.</x:t>
        </x:is>
      </x:c>
      <x:c s="14" r="S158" t="inlineStr">
        <x:is>
          <x:t xml:space="preserve">current_repo_page_2026-04-21</x:t>
        </x:is>
      </x:c>
      <x:c s="17" r="T158" t="inlineStr">
        <x:is>
          <x:t xml:space="preserve">https://huggingface.co/moonshotai</x:t>
        </x:is>
      </x:c>
      <x:c s="14" r="U158" t="inlineStr">
        <x:is>
          <x:t xml:space="preserve">Transformers; community GGUF</x:t>
        </x:is>
      </x:c>
      <x:c s="15" r="V158" t="n">
        <x:v>130.7</x:v>
      </x:c>
      <x:c s="15" r="W158" t="n">
        <x:v>67.4</x:v>
      </x:c>
      <x:c s="15" r="X158" t="n">
        <x:v>51.5</x:v>
      </x:c>
      <x:c s="15" r="Y158" t="n">
        <x:v>43.6</x:v>
      </x:c>
      <x:c s="15" r="Z158" t="n">
        <x:v>35.7</x:v>
      </x:c>
      <x:c s="15" r="AA158" t="n">
        <x:v>27.8</x:v>
      </x:c>
      <x:c s="15" r="AB158" t="n">
        <x:v>19.8</x:v>
      </x:c>
    </x:row>
    <x:row r="159">
      <x:c r="A159" t="inlineStr">
        <x:is>
          <x:t xml:space="preserve">Qwen</x:t>
        </x:is>
      </x:c>
      <x:c s="14" r="B159" t="inlineStr">
        <x:is>
          <x:t xml:space="preserve">Qwen/Qwen3.5-122B-A10B</x:t>
        </x:is>
      </x:c>
      <x:c s="14" r="C159" t="inlineStr">
        <x:is>
          <x:t xml:space="preserve">Qwen3.5-122B-A10B</x:t>
        </x:is>
      </x:c>
      <x:c s="15" r="D159" t="n">
        <x:v>122</x:v>
      </x:c>
      <x:c s="15" r="E159" t="n">
        <x:v>10</x:v>
      </x:c>
      <x:c s="14" r="F159" t="inlineStr">
        <x:is>
          <x:t xml:space="preserve">multimodal</x:t>
        </x:is>
      </x:c>
      <x:c s="14" r="G159" t="inlineStr">
        <x:is>
          <x:t xml:space="preserve">text+vision</x:t>
        </x:is>
      </x:c>
      <x:c r="H159" t="inlineStr">
        <x:is>
          <x:t xml:space="preserve">multimodal</x:t>
        </x:is>
      </x:c>
      <x:c r="I159" t="inlineStr">
        <x:is>
          <x:t xml:space="preserve">MoE</x:t>
        </x:is>
      </x:c>
      <x:c s="16" r="J159" t="inlineStr">
        <x:is>
          <x:t xml:space="preserve">open</x:t>
        </x:is>
      </x:c>
      <x:c s="17" r="K159" t="inlineStr">
        <x:is>
          <x:t xml:space="preserve">https://huggingface.co/Qwen/Qwen3.5-122B-A10B</x:t>
        </x:is>
      </x:c>
      <x:c s="17" r="L159" t="inlineStr">
        <x:is>
          <x:t xml:space="preserve"/>
        </x:is>
      </x:c>
      <x:c s="14" r="M159" t="inlineStr">
        <x:is>
          <x:t xml:space="preserve">Q4_K_M/4-bit</x:t>
        </x:is>
      </x:c>
      <x:c s="15" r="N159" t="n">
        <x:v>84.5</x:v>
      </x:c>
      <x:c s="14" r="O159" t="inlineStr">
        <x:is>
          <x:t xml:space="preserve">Q4_K_M/4-bit</x:t>
        </x:is>
      </x:c>
      <x:c s="15" r="P159" t="n">
        <x:v>84.5</x:v>
      </x:c>
      <x:c s="14" r="Q159" t="inlineStr">
        <x:is>
          <x:t xml:space="preserve">Near limit</x:t>
        </x:is>
      </x:c>
      <x:c s="18" r="R159" t="inlineStr">
        <x:is>
          <x:t xml:space="preserve">Qwen3.5 multimodal MoE family.</x:t>
        </x:is>
      </x:c>
      <x:c s="14" r="S159" t="inlineStr">
        <x:is>
          <x:t xml:space="preserve">current_org_page_2026-03-27</x:t>
        </x:is>
      </x:c>
      <x:c s="17" r="T159" t="inlineStr">
        <x:is>
          <x:t xml:space="preserve">https://huggingface.co/Qwen</x:t>
        </x:is>
      </x:c>
      <x:c s="14" r="U159" t="inlineStr">
        <x:is>
          <x:t xml:space="preserve">Transformers; GGUF; AWQ/GPTQ</x:t>
        </x:is>
      </x:c>
      <x:c s="15" r="V159" t="n">
        <x:v>326.1</x:v>
      </x:c>
      <x:c s="15" r="W159" t="n">
        <x:v>165</x:v>
      </x:c>
      <x:c s="15" r="X159" t="n">
        <x:v>124.8</x:v>
      </x:c>
      <x:c s="15" r="Y159" t="n">
        <x:v>104.7</x:v>
      </x:c>
      <x:c s="15" r="Z159" t="n">
        <x:v>84.5</x:v>
      </x:c>
      <x:c s="15" r="AA159" t="n">
        <x:v>64.4</x:v>
      </x:c>
      <x:c s="15" r="AB159" t="n">
        <x:v>44.3</x:v>
      </x:c>
    </x:row>
    <x:row r="160">
      <x:c r="A160" t="inlineStr">
        <x:is>
          <x:t xml:space="preserve">Qwen</x:t>
        </x:is>
      </x:c>
      <x:c s="14" r="B160" t="inlineStr">
        <x:is>
          <x:t xml:space="preserve">Qwen/Qwen3-Coder-Next</x:t>
        </x:is>
      </x:c>
      <x:c s="14" r="C160" t="inlineStr">
        <x:is>
          <x:t xml:space="preserve">Qwen3-Coder-Next</x:t>
        </x:is>
      </x:c>
      <x:c s="15" r="D160" t="n">
        <x:v>80</x:v>
      </x:c>
      <x:c s="15" r="E160" t="n">
        <x:v>3</x:v>
      </x:c>
      <x:c s="14" r="F160" t="inlineStr">
        <x:is>
          <x:t xml:space="preserve">coding / agents</x:t>
        </x:is>
      </x:c>
      <x:c s="14" r="G160" t="inlineStr">
        <x:is>
          <x:t xml:space="preserve">text</x:t>
        </x:is>
      </x:c>
      <x:c r="H160" t="inlineStr">
        <x:is>
          <x:t xml:space="preserve">coder</x:t>
        </x:is>
      </x:c>
      <x:c r="I160" t="inlineStr">
        <x:is>
          <x:t xml:space="preserve">MoE</x:t>
        </x:is>
      </x:c>
      <x:c s="16" r="J160" t="inlineStr">
        <x:is>
          <x:t xml:space="preserve">open</x:t>
        </x:is>
      </x:c>
      <x:c s="17" r="K160" t="inlineStr">
        <x:is>
          <x:t xml:space="preserve">https://huggingface.co/Qwen/Qwen3-Coder-Next</x:t>
        </x:is>
      </x:c>
      <x:c s="17" r="L160" t="inlineStr">
        <x:is>
          <x:t xml:space="preserve">https://huggingface.co/Qwen/Qwen3-Coder-Next-GGUF</x:t>
        </x:is>
      </x:c>
      <x:c s="14" r="M160" t="inlineStr">
        <x:is>
          <x:t xml:space="preserve">Q6_K/6-bit</x:t>
        </x:is>
      </x:c>
      <x:c s="15" r="N160" t="n">
        <x:v>83.2</x:v>
      </x:c>
      <x:c s="14" r="O160" t="inlineStr">
        <x:is>
          <x:t xml:space="preserve">Q6_K/6-bit</x:t>
        </x:is>
      </x:c>
      <x:c s="15" r="P160" t="n">
        <x:v>83.2</x:v>
      </x:c>
      <x:c s="14" r="Q160" t="inlineStr">
        <x:is>
          <x:t xml:space="preserve">Near limit</x:t>
        </x:is>
      </x:c>
      <x:c s="18" r="R160" t="inlineStr">
        <x:is>
          <x:t xml:space="preserve">MoE code model; about 3B active / 80B total.</x:t>
        </x:is>
      </x:c>
      <x:c s="14" r="S160" t="inlineStr">
        <x:is>
          <x:t xml:space="preserve">current_repo_page_2026-03-27</x:t>
        </x:is>
      </x:c>
      <x:c s="17" r="T160" t="inlineStr">
        <x:is>
          <x:t xml:space="preserve">https://huggingface.co/Qwen/Qwen3-Coder-Next</x:t>
        </x:is>
      </x:c>
      <x:c s="14" r="U160" t="inlineStr">
        <x:is>
          <x:t xml:space="preserve">Transformers; GGUF; AWQ/GPTQ</x:t>
        </x:is>
      </x:c>
      <x:c s="15" r="V160" t="n">
        <x:v>215.2</x:v>
      </x:c>
      <x:c s="15" r="W160" t="n">
        <x:v>109.6</x:v>
      </x:c>
      <x:c s="15" r="X160" t="n">
        <x:v>83.2</x:v>
      </x:c>
      <x:c s="15" r="Y160" t="n">
        <x:v>70</x:v>
      </x:c>
      <x:c s="15" r="Z160" t="n">
        <x:v>56.8</x:v>
      </x:c>
      <x:c s="15" r="AA160" t="n">
        <x:v>43.6</x:v>
      </x:c>
      <x:c s="15" r="AB160" t="n">
        <x:v>30.4</x:v>
      </x:c>
    </x:row>
    <x:row r="161">
      <x:c r="A161" t="inlineStr">
        <x:is>
          <x:t xml:space="preserve">Qwen</x:t>
        </x:is>
      </x:c>
      <x:c s="14" r="B161" t="inlineStr">
        <x:is>
          <x:t xml:space="preserve">Qwen/Qwen3-Coder-Next-Base</x:t>
        </x:is>
      </x:c>
      <x:c s="14" r="C161" t="inlineStr">
        <x:is>
          <x:t xml:space="preserve">Qwen3-Coder-Next-Base</x:t>
        </x:is>
      </x:c>
      <x:c s="15" r="D161" t="n">
        <x:v>80</x:v>
      </x:c>
      <x:c s="15" r="E161" t="n">
        <x:v>3</x:v>
      </x:c>
      <x:c s="14" r="F161" t="inlineStr">
        <x:is>
          <x:t xml:space="preserve">coding</x:t>
        </x:is>
      </x:c>
      <x:c s="14" r="G161" t="inlineStr">
        <x:is>
          <x:t xml:space="preserve">text</x:t>
        </x:is>
      </x:c>
      <x:c r="H161" t="inlineStr">
        <x:is>
          <x:t xml:space="preserve">base</x:t>
        </x:is>
      </x:c>
      <x:c r="I161" t="inlineStr">
        <x:is>
          <x:t xml:space="preserve">MoE</x:t>
        </x:is>
      </x:c>
      <x:c s="16" r="J161" t="inlineStr">
        <x:is>
          <x:t xml:space="preserve">open</x:t>
        </x:is>
      </x:c>
      <x:c s="17" r="K161" t="inlineStr">
        <x:is>
          <x:t xml:space="preserve">https://huggingface.co/Qwen/Qwen3-Coder-Next-Base</x:t>
        </x:is>
      </x:c>
      <x:c s="17" r="L161" t="inlineStr">
        <x:is>
          <x:t xml:space="preserve">https://huggingface.co/Qwen/Qwen3-Coder-Next-GGUF</x:t>
        </x:is>
      </x:c>
      <x:c s="14" r="M161" t="inlineStr">
        <x:is>
          <x:t xml:space="preserve">Q6_K/6-bit</x:t>
        </x:is>
      </x:c>
      <x:c s="15" r="N161" t="n">
        <x:v>83.2</x:v>
      </x:c>
      <x:c s="14" r="O161" t="inlineStr">
        <x:is>
          <x:t xml:space="preserve">Q6_K/6-bit</x:t>
        </x:is>
      </x:c>
      <x:c s="15" r="P161" t="n">
        <x:v>83.2</x:v>
      </x:c>
      <x:c s="14" r="Q161" t="inlineStr">
        <x:is>
          <x:t xml:space="preserve">Near limit</x:t>
        </x:is>
      </x:c>
      <x:c s="18" r="R161" t="inlineStr">
        <x:is>
          <x:t xml:space="preserve">MoE code model; about 3B active / 80B total.</x:t>
        </x:is>
      </x:c>
      <x:c s="14" r="S161" t="inlineStr">
        <x:is>
          <x:t xml:space="preserve">current_repo_page_2026-03-27</x:t>
        </x:is>
      </x:c>
      <x:c s="17" r="T161" t="inlineStr">
        <x:is>
          <x:t xml:space="preserve">https://huggingface.co/Qwen/Qwen3-Coder-Next</x:t>
        </x:is>
      </x:c>
      <x:c s="14" r="U161" t="inlineStr">
        <x:is>
          <x:t xml:space="preserve">Transformers; GGUF; AWQ/GPTQ</x:t>
        </x:is>
      </x:c>
      <x:c s="15" r="V161" t="n">
        <x:v>215.2</x:v>
      </x:c>
      <x:c s="15" r="W161" t="n">
        <x:v>109.6</x:v>
      </x:c>
      <x:c s="15" r="X161" t="n">
        <x:v>83.2</x:v>
      </x:c>
      <x:c s="15" r="Y161" t="n">
        <x:v>70</x:v>
      </x:c>
      <x:c s="15" r="Z161" t="n">
        <x:v>56.8</x:v>
      </x:c>
      <x:c s="15" r="AA161" t="n">
        <x:v>43.6</x:v>
      </x:c>
      <x:c s="15" r="AB161" t="n">
        <x:v>30.4</x:v>
      </x:c>
    </x:row>
    <x:row r="162">
      <x:c r="A162" t="inlineStr">
        <x:is>
          <x:t xml:space="preserve">Qwen</x:t>
        </x:is>
      </x:c>
      <x:c s="14" r="B162" t="inlineStr">
        <x:is>
          <x:t xml:space="preserve">Qwen/Qwen2-72B</x:t>
        </x:is>
      </x:c>
      <x:c s="14" r="C162" t="inlineStr">
        <x:is>
          <x:t xml:space="preserve">Qwen2-72B</x:t>
        </x:is>
      </x:c>
      <x:c s="15" r="D162" t="n">
        <x:v>72</x:v>
      </x:c>
      <x:c s="15" r="E162"/>
      <x:c s="14" r="F162" t="inlineStr">
        <x:is>
          <x:t xml:space="preserve">general</x:t>
        </x:is>
      </x:c>
      <x:c s="14" r="G162" t="inlineStr">
        <x:is>
          <x:t xml:space="preserve">text</x:t>
        </x:is>
      </x:c>
      <x:c r="H162" t="inlineStr">
        <x:is>
          <x:t xml:space="preserve">base</x:t>
        </x:is>
      </x:c>
      <x:c r="I162" t="inlineStr">
        <x:is>
          <x:t xml:space="preserve">Dense</x:t>
        </x:is>
      </x:c>
      <x:c s="16" r="J162" t="inlineStr">
        <x:is>
          <x:t xml:space="preserve">open</x:t>
        </x:is>
      </x:c>
      <x:c s="17" r="K162" t="inlineStr">
        <x:is>
          <x:t xml:space="preserve">https://huggingface.co/Qwen/Qwen2-72B</x:t>
        </x:is>
      </x:c>
      <x:c s="17" r="L162" t="inlineStr">
        <x:is>
          <x:t xml:space="preserve"/>
        </x:is>
      </x:c>
      <x:c s="14" r="M162" t="inlineStr">
        <x:is>
          <x:t xml:space="preserve">FP8/Q8_0/INT8</x:t>
        </x:is>
      </x:c>
      <x:c s="15" r="N162" t="n">
        <x:v>95.1</x:v>
      </x:c>
      <x:c s="14" r="O162" t="inlineStr">
        <x:is>
          <x:t xml:space="preserve">Q6_K/6-bit</x:t>
        </x:is>
      </x:c>
      <x:c s="15" r="P162" t="n">
        <x:v>72.3</x:v>
      </x:c>
      <x:c s="14" r="Q162" t="inlineStr">
        <x:is>
          <x:t xml:space="preserve">Comfortable</x:t>
        </x:is>
      </x:c>
      <x:c s="18" r="R162" t="inlineStr">
        <x:is>
          <x:t xml:space="preserve"/>
        </x:is>
      </x:c>
      <x:c s="14" r="S162" t="inlineStr">
        <x:is>
          <x:t xml:space="preserve">current_family_page_2026-03-27</x:t>
        </x:is>
      </x:c>
      <x:c s="17" r="T162" t="inlineStr">
        <x:is>
          <x:t xml:space="preserve">https://huggingface.co/collections/Qwen/qwen2-6659361987f473a0f12f57e7</x:t>
        </x:is>
      </x:c>
      <x:c s="14" r="U162" t="inlineStr">
        <x:is>
          <x:t xml:space="preserve">Transformers; GGUF; AWQ/GPTQ</x:t>
        </x:is>
      </x:c>
      <x:c s="15" r="V162" t="n">
        <x:v>186.2</x:v>
      </x:c>
      <x:c s="15" r="W162" t="n">
        <x:v>95.1</x:v>
      </x:c>
      <x:c s="15" r="X162" t="n">
        <x:v>72.3</x:v>
      </x:c>
      <x:c s="15" r="Y162" t="n">
        <x:v>60.9</x:v>
      </x:c>
      <x:c s="15" r="Z162" t="n">
        <x:v>49.5</x:v>
      </x:c>
      <x:c s="15" r="AA162" t="n">
        <x:v>38.2</x:v>
      </x:c>
      <x:c s="15" r="AB162" t="n">
        <x:v>26.8</x:v>
      </x:c>
    </x:row>
    <x:row r="163">
      <x:c r="A163" t="inlineStr">
        <x:is>
          <x:t xml:space="preserve">Qwen</x:t>
        </x:is>
      </x:c>
      <x:c s="14" r="B163" t="inlineStr">
        <x:is>
          <x:t xml:space="preserve">Qwen/Qwen2-72B-Instruct</x:t>
        </x:is>
      </x:c>
      <x:c s="14" r="C163" t="inlineStr">
        <x:is>
          <x:t xml:space="preserve">Qwen2-72B-Instruct</x:t>
        </x:is>
      </x:c>
      <x:c s="15" r="D163" t="n">
        <x:v>72</x:v>
      </x:c>
      <x:c s="15" r="E163"/>
      <x:c s="14" r="F163" t="inlineStr">
        <x:is>
          <x:t xml:space="preserve">general chat</x:t>
        </x:is>
      </x:c>
      <x:c s="14" r="G163" t="inlineStr">
        <x:is>
          <x:t xml:space="preserve">text</x:t>
        </x:is>
      </x:c>
      <x:c r="H163" t="inlineStr">
        <x:is>
          <x:t xml:space="preserve">instruct</x:t>
        </x:is>
      </x:c>
      <x:c r="I163" t="inlineStr">
        <x:is>
          <x:t xml:space="preserve">Dense</x:t>
        </x:is>
      </x:c>
      <x:c s="16" r="J163" t="inlineStr">
        <x:is>
          <x:t xml:space="preserve">open</x:t>
        </x:is>
      </x:c>
      <x:c s="17" r="K163" t="inlineStr">
        <x:is>
          <x:t xml:space="preserve">https://huggingface.co/Qwen/Qwen2-72B-Instruct</x:t>
        </x:is>
      </x:c>
      <x:c s="17" r="L163" t="inlineStr">
        <x:is>
          <x:t xml:space="preserve"/>
        </x:is>
      </x:c>
      <x:c s="14" r="M163" t="inlineStr">
        <x:is>
          <x:t xml:space="preserve">FP8/Q8_0/INT8</x:t>
        </x:is>
      </x:c>
      <x:c s="15" r="N163" t="n">
        <x:v>95.1</x:v>
      </x:c>
      <x:c s="14" r="O163" t="inlineStr">
        <x:is>
          <x:t xml:space="preserve">Q6_K/6-bit</x:t>
        </x:is>
      </x:c>
      <x:c s="15" r="P163" t="n">
        <x:v>72.3</x:v>
      </x:c>
      <x:c s="14" r="Q163" t="inlineStr">
        <x:is>
          <x:t xml:space="preserve">Comfortable</x:t>
        </x:is>
      </x:c>
      <x:c s="18" r="R163" t="inlineStr">
        <x:is>
          <x:t xml:space="preserve"/>
        </x:is>
      </x:c>
      <x:c s="14" r="S163" t="inlineStr">
        <x:is>
          <x:t xml:space="preserve">current_family_page_2026-03-27</x:t>
        </x:is>
      </x:c>
      <x:c s="17" r="T163" t="inlineStr">
        <x:is>
          <x:t xml:space="preserve">https://huggingface.co/collections/Qwen/qwen2-6659361987f473a0f12f57e7</x:t>
        </x:is>
      </x:c>
      <x:c s="14" r="U163" t="inlineStr">
        <x:is>
          <x:t xml:space="preserve">Transformers; GGUF; AWQ/GPTQ</x:t>
        </x:is>
      </x:c>
      <x:c s="15" r="V163" t="n">
        <x:v>186.2</x:v>
      </x:c>
      <x:c s="15" r="W163" t="n">
        <x:v>95.1</x:v>
      </x:c>
      <x:c s="15" r="X163" t="n">
        <x:v>72.3</x:v>
      </x:c>
      <x:c s="15" r="Y163" t="n">
        <x:v>60.9</x:v>
      </x:c>
      <x:c s="15" r="Z163" t="n">
        <x:v>49.5</x:v>
      </x:c>
      <x:c s="15" r="AA163" t="n">
        <x:v>38.2</x:v>
      </x:c>
      <x:c s="15" r="AB163" t="n">
        <x:v>26.8</x:v>
      </x:c>
    </x:row>
    <x:row r="164">
      <x:c r="A164" t="inlineStr">
        <x:is>
          <x:t xml:space="preserve">Qwen</x:t>
        </x:is>
      </x:c>
      <x:c s="14" r="B164" t="inlineStr">
        <x:is>
          <x:t xml:space="preserve">Qwen/Qwen2.5-72B</x:t>
        </x:is>
      </x:c>
      <x:c s="14" r="C164" t="inlineStr">
        <x:is>
          <x:t xml:space="preserve">Qwen2.5-72B</x:t>
        </x:is>
      </x:c>
      <x:c s="15" r="D164" t="n">
        <x:v>72</x:v>
      </x:c>
      <x:c s="15" r="E164"/>
      <x:c s="14" r="F164" t="inlineStr">
        <x:is>
          <x:t xml:space="preserve">general</x:t>
        </x:is>
      </x:c>
      <x:c s="14" r="G164" t="inlineStr">
        <x:is>
          <x:t xml:space="preserve">text</x:t>
        </x:is>
      </x:c>
      <x:c r="H164" t="inlineStr">
        <x:is>
          <x:t xml:space="preserve">base</x:t>
        </x:is>
      </x:c>
      <x:c r="I164" t="inlineStr">
        <x:is>
          <x:t xml:space="preserve">Dense</x:t>
        </x:is>
      </x:c>
      <x:c s="16" r="J164" t="inlineStr">
        <x:is>
          <x:t xml:space="preserve">open</x:t>
        </x:is>
      </x:c>
      <x:c s="17" r="K164" t="inlineStr">
        <x:is>
          <x:t xml:space="preserve">https://huggingface.co/Qwen/Qwen2.5-72B</x:t>
        </x:is>
      </x:c>
      <x:c s="17" r="L164" t="inlineStr">
        <x:is>
          <x:t xml:space="preserve"/>
        </x:is>
      </x:c>
      <x:c s="14" r="M164" t="inlineStr">
        <x:is>
          <x:t xml:space="preserve">FP8/Q8_0/INT8</x:t>
        </x:is>
      </x:c>
      <x:c s="15" r="N164" t="n">
        <x:v>95.1</x:v>
      </x:c>
      <x:c s="14" r="O164" t="inlineStr">
        <x:is>
          <x:t xml:space="preserve">Q6_K/6-bit</x:t>
        </x:is>
      </x:c>
      <x:c s="15" r="P164" t="n">
        <x:v>72.3</x:v>
      </x:c>
      <x:c s="14" r="Q164" t="inlineStr">
        <x:is>
          <x:t xml:space="preserve">Comfortable</x:t>
        </x:is>
      </x:c>
      <x:c s="18" r="R164" t="inlineStr">
        <x:is>
          <x:t xml:space="preserve">Mainstream Qwen 2.5 family.</x:t>
        </x:is>
      </x:c>
      <x:c s="14" r="S164" t="inlineStr">
        <x:is>
          <x:t xml:space="preserve">current_family_page_2026-03-27</x:t>
        </x:is>
      </x:c>
      <x:c s="17" r="T164" t="inlineStr">
        <x:is>
          <x:t xml:space="preserve">https://huggingface.co/collections/Qwen/qwen25-66e81a666513e518adb90d9e</x:t>
        </x:is>
      </x:c>
      <x:c s="14" r="U164" t="inlineStr">
        <x:is>
          <x:t xml:space="preserve">Transformers; GGUF; AWQ/GPTQ</x:t>
        </x:is>
      </x:c>
      <x:c s="15" r="V164" t="n">
        <x:v>186.2</x:v>
      </x:c>
      <x:c s="15" r="W164" t="n">
        <x:v>95.1</x:v>
      </x:c>
      <x:c s="15" r="X164" t="n">
        <x:v>72.3</x:v>
      </x:c>
      <x:c s="15" r="Y164" t="n">
        <x:v>60.9</x:v>
      </x:c>
      <x:c s="15" r="Z164" t="n">
        <x:v>49.5</x:v>
      </x:c>
      <x:c s="15" r="AA164" t="n">
        <x:v>38.2</x:v>
      </x:c>
      <x:c s="15" r="AB164" t="n">
        <x:v>26.8</x:v>
      </x:c>
    </x:row>
    <x:row r="165">
      <x:c r="A165" t="inlineStr">
        <x:is>
          <x:t xml:space="preserve">Qwen</x:t>
        </x:is>
      </x:c>
      <x:c s="14" r="B165" t="inlineStr">
        <x:is>
          <x:t xml:space="preserve">Qwen/Qwen2.5-72B-Instruct</x:t>
        </x:is>
      </x:c>
      <x:c s="14" r="C165" t="inlineStr">
        <x:is>
          <x:t xml:space="preserve">Qwen2.5-72B-Instruct</x:t>
        </x:is>
      </x:c>
      <x:c s="15" r="D165" t="n">
        <x:v>72</x:v>
      </x:c>
      <x:c s="15" r="E165"/>
      <x:c s="14" r="F165" t="inlineStr">
        <x:is>
          <x:t xml:space="preserve">general chat</x:t>
        </x:is>
      </x:c>
      <x:c s="14" r="G165" t="inlineStr">
        <x:is>
          <x:t xml:space="preserve">text</x:t>
        </x:is>
      </x:c>
      <x:c r="H165" t="inlineStr">
        <x:is>
          <x:t xml:space="preserve">instruct</x:t>
        </x:is>
      </x:c>
      <x:c r="I165" t="inlineStr">
        <x:is>
          <x:t xml:space="preserve">Dense</x:t>
        </x:is>
      </x:c>
      <x:c s="16" r="J165" t="inlineStr">
        <x:is>
          <x:t xml:space="preserve">open</x:t>
        </x:is>
      </x:c>
      <x:c s="17" r="K165" t="inlineStr">
        <x:is>
          <x:t xml:space="preserve">https://huggingface.co/Qwen/Qwen2.5-72B-Instruct</x:t>
        </x:is>
      </x:c>
      <x:c s="17" r="L165" t="inlineStr">
        <x:is>
          <x:t xml:space="preserve"/>
        </x:is>
      </x:c>
      <x:c s="14" r="M165" t="inlineStr">
        <x:is>
          <x:t xml:space="preserve">FP8/Q8_0/INT8</x:t>
        </x:is>
      </x:c>
      <x:c s="15" r="N165" t="n">
        <x:v>95.1</x:v>
      </x:c>
      <x:c s="14" r="O165" t="inlineStr">
        <x:is>
          <x:t xml:space="preserve">Q6_K/6-bit</x:t>
        </x:is>
      </x:c>
      <x:c s="15" r="P165" t="n">
        <x:v>72.3</x:v>
      </x:c>
      <x:c s="14" r="Q165" t="inlineStr">
        <x:is>
          <x:t xml:space="preserve">Comfortable</x:t>
        </x:is>
      </x:c>
      <x:c s="18" r="R165" t="inlineStr">
        <x:is>
          <x:t xml:space="preserve">Mainstream Qwen 2.5 family.</x:t>
        </x:is>
      </x:c>
      <x:c s="14" r="S165" t="inlineStr">
        <x:is>
          <x:t xml:space="preserve">current_family_page_2026-03-27</x:t>
        </x:is>
      </x:c>
      <x:c s="17" r="T165" t="inlineStr">
        <x:is>
          <x:t xml:space="preserve">https://huggingface.co/collections/Qwen/qwen25-66e81a666513e518adb90d9e</x:t>
        </x:is>
      </x:c>
      <x:c s="14" r="U165" t="inlineStr">
        <x:is>
          <x:t xml:space="preserve">Transformers; GGUF; AWQ/GPTQ</x:t>
        </x:is>
      </x:c>
      <x:c s="15" r="V165" t="n">
        <x:v>186.2</x:v>
      </x:c>
      <x:c s="15" r="W165" t="n">
        <x:v>95.1</x:v>
      </x:c>
      <x:c s="15" r="X165" t="n">
        <x:v>72.3</x:v>
      </x:c>
      <x:c s="15" r="Y165" t="n">
        <x:v>60.9</x:v>
      </x:c>
      <x:c s="15" r="Z165" t="n">
        <x:v>49.5</x:v>
      </x:c>
      <x:c s="15" r="AA165" t="n">
        <x:v>38.2</x:v>
      </x:c>
      <x:c s="15" r="AB165" t="n">
        <x:v>26.8</x:v>
      </x:c>
    </x:row>
    <x:row r="166">
      <x:c r="A166" t="inlineStr">
        <x:is>
          <x:t xml:space="preserve">Qwen</x:t>
        </x:is>
      </x:c>
      <x:c s="14" r="B166" t="inlineStr">
        <x:is>
          <x:t xml:space="preserve">Qwen/Qwen2.5-VL-72B-Instruct</x:t>
        </x:is>
      </x:c>
      <x:c s="14" r="C166" t="inlineStr">
        <x:is>
          <x:t xml:space="preserve">Qwen2.5-VL-72B-Instruct</x:t>
        </x:is>
      </x:c>
      <x:c s="15" r="D166" t="n">
        <x:v>72</x:v>
      </x:c>
      <x:c s="15" r="E166"/>
      <x:c s="14" r="F166" t="inlineStr">
        <x:is>
          <x:t xml:space="preserve">multimodal chat</x:t>
        </x:is>
      </x:c>
      <x:c s="14" r="G166" t="inlineStr">
        <x:is>
          <x:t xml:space="preserve">text+vision</x:t>
        </x:is>
      </x:c>
      <x:c r="H166" t="inlineStr">
        <x:is>
          <x:t xml:space="preserve">instruct</x:t>
        </x:is>
      </x:c>
      <x:c r="I166" t="inlineStr">
        <x:is>
          <x:t xml:space="preserve">Dense</x:t>
        </x:is>
      </x:c>
      <x:c s="16" r="J166" t="inlineStr">
        <x:is>
          <x:t xml:space="preserve">open</x:t>
        </x:is>
      </x:c>
      <x:c s="17" r="K166" t="inlineStr">
        <x:is>
          <x:t xml:space="preserve">https://huggingface.co/Qwen/Qwen2.5-VL-72B-Instruct</x:t>
        </x:is>
      </x:c>
      <x:c s="17" r="L166" t="inlineStr">
        <x:is>
          <x:t xml:space="preserve"/>
        </x:is>
      </x:c>
      <x:c s="14" r="M166" t="inlineStr">
        <x:is>
          <x:t xml:space="preserve">FP8/Q8_0/INT8</x:t>
        </x:is>
      </x:c>
      <x:c s="15" r="N166" t="n">
        <x:v>95.1</x:v>
      </x:c>
      <x:c s="14" r="O166" t="inlineStr">
        <x:is>
          <x:t xml:space="preserve">Q6_K/6-bit</x:t>
        </x:is>
      </x:c>
      <x:c s="15" r="P166" t="n">
        <x:v>72.3</x:v>
      </x:c>
      <x:c s="14" r="Q166" t="inlineStr">
        <x:is>
          <x:t xml:space="preserve">Comfortable</x:t>
        </x:is>
      </x:c>
      <x:c s="18" r="R166" t="inlineStr">
        <x:is>
          <x:t xml:space="preserve">Qwen 2.5 VL multimodal family.</x:t>
        </x:is>
      </x:c>
      <x:c s="14" r="S166" t="inlineStr">
        <x:is>
          <x:t xml:space="preserve">current_family_page_2026-03-27</x:t>
        </x:is>
      </x:c>
      <x:c s="17" r="T166" t="inlineStr">
        <x:is>
          <x:t xml:space="preserve">https://huggingface.co/collections/Qwen/qwen25-vl-6795ffac22b334a837c0f9a5</x:t>
        </x:is>
      </x:c>
      <x:c s="14" r="U166" t="inlineStr">
        <x:is>
          <x:t xml:space="preserve">Transformers; GGUF; AWQ/GPTQ</x:t>
        </x:is>
      </x:c>
      <x:c s="15" r="V166" t="n">
        <x:v>186.2</x:v>
      </x:c>
      <x:c s="15" r="W166" t="n">
        <x:v>95.1</x:v>
      </x:c>
      <x:c s="15" r="X166" t="n">
        <x:v>72.3</x:v>
      </x:c>
      <x:c s="15" r="Y166" t="n">
        <x:v>60.9</x:v>
      </x:c>
      <x:c s="15" r="Z166" t="n">
        <x:v>49.5</x:v>
      </x:c>
      <x:c s="15" r="AA166" t="n">
        <x:v>38.2</x:v>
      </x:c>
      <x:c s="15" r="AB166" t="n">
        <x:v>26.8</x:v>
      </x:c>
    </x:row>
    <x:row r="167">
      <x:c r="A167" t="inlineStr">
        <x:is>
          <x:t xml:space="preserve">Qwen</x:t>
        </x:is>
      </x:c>
      <x:c s="14" r="B167" t="inlineStr">
        <x:is>
          <x:t xml:space="preserve">Qwen/Qwen2-57B-A14B</x:t>
        </x:is>
      </x:c>
      <x:c s="14" r="C167" t="inlineStr">
        <x:is>
          <x:t xml:space="preserve">Qwen2-57B-A14B</x:t>
        </x:is>
      </x:c>
      <x:c s="15" r="D167" t="n">
        <x:v>57</x:v>
      </x:c>
      <x:c s="15" r="E167" t="n">
        <x:v>14</x:v>
      </x:c>
      <x:c s="14" r="F167" t="inlineStr">
        <x:is>
          <x:t xml:space="preserve">general</x:t>
        </x:is>
      </x:c>
      <x:c s="14" r="G167" t="inlineStr">
        <x:is>
          <x:t xml:space="preserve">text</x:t>
        </x:is>
      </x:c>
      <x:c r="H167" t="inlineStr">
        <x:is>
          <x:t xml:space="preserve">base</x:t>
        </x:is>
      </x:c>
      <x:c r="I167" t="inlineStr">
        <x:is>
          <x:t xml:space="preserve">MoE</x:t>
        </x:is>
      </x:c>
      <x:c s="16" r="J167" t="inlineStr">
        <x:is>
          <x:t xml:space="preserve">open</x:t>
        </x:is>
      </x:c>
      <x:c s="17" r="K167" t="inlineStr">
        <x:is>
          <x:t xml:space="preserve">https://huggingface.co/Qwen/Qwen2-57B-A14B</x:t>
        </x:is>
      </x:c>
      <x:c s="17" r="L167" t="inlineStr">
        <x:is>
          <x:t xml:space="preserve"/>
        </x:is>
      </x:c>
      <x:c s="14" r="M167" t="inlineStr">
        <x:is>
          <x:t xml:space="preserve">FP8/Q8_0/INT8</x:t>
        </x:is>
      </x:c>
      <x:c s="15" r="N167" t="n">
        <x:v>79.2</x:v>
      </x:c>
      <x:c s="14" r="O167" t="inlineStr">
        <x:is>
          <x:t xml:space="preserve">FP8/Q8_0/INT8</x:t>
        </x:is>
      </x:c>
      <x:c s="15" r="P167" t="n">
        <x:v>79.2</x:v>
      </x:c>
      <x:c s="14" r="Q167" t="inlineStr">
        <x:is>
          <x:t xml:space="preserve">Near limit</x:t>
        </x:is>
      </x:c>
      <x:c s="18" r="R167" t="inlineStr">
        <x:is>
          <x:t xml:space="preserve">Mixture-of-experts Qwen2 model.</x:t>
        </x:is>
      </x:c>
      <x:c s="14" r="S167" t="inlineStr">
        <x:is>
          <x:t xml:space="preserve">current_family_page_2026-03-27</x:t>
        </x:is>
      </x:c>
      <x:c s="17" r="T167" t="inlineStr">
        <x:is>
          <x:t xml:space="preserve">https://huggingface.co/collections/Qwen/qwen2-6659361987f473a0f12f57e7</x:t>
        </x:is>
      </x:c>
      <x:c s="14" r="U167" t="inlineStr">
        <x:is>
          <x:t xml:space="preserve">Transformers; GGUF; AWQ/GPTQ</x:t>
        </x:is>
      </x:c>
      <x:c s="15" r="V167" t="n">
        <x:v>154.5</x:v>
      </x:c>
      <x:c s="15" r="W167" t="n">
        <x:v>79.2</x:v>
      </x:c>
      <x:c s="15" r="X167" t="n">
        <x:v>60.4</x:v>
      </x:c>
      <x:c s="15" r="Y167" t="n">
        <x:v>51</x:v>
      </x:c>
      <x:c s="15" r="Z167" t="n">
        <x:v>41.6</x:v>
      </x:c>
      <x:c s="15" r="AA167" t="n">
        <x:v>32.2</x:v>
      </x:c>
      <x:c s="15" r="AB167" t="n">
        <x:v>22.8</x:v>
      </x:c>
    </x:row>
    <x:row r="168">
      <x:c r="A168" t="inlineStr">
        <x:is>
          <x:t xml:space="preserve">Qwen</x:t>
        </x:is>
      </x:c>
      <x:c s="14" r="B168" t="inlineStr">
        <x:is>
          <x:t xml:space="preserve">Qwen/Qwen2-57B-A14B-Instruct</x:t>
        </x:is>
      </x:c>
      <x:c s="14" r="C168" t="inlineStr">
        <x:is>
          <x:t xml:space="preserve">Qwen2-57B-A14B-Instruct</x:t>
        </x:is>
      </x:c>
      <x:c s="15" r="D168" t="n">
        <x:v>57</x:v>
      </x:c>
      <x:c s="15" r="E168" t="n">
        <x:v>14</x:v>
      </x:c>
      <x:c s="14" r="F168" t="inlineStr">
        <x:is>
          <x:t xml:space="preserve">general chat</x:t>
        </x:is>
      </x:c>
      <x:c s="14" r="G168" t="inlineStr">
        <x:is>
          <x:t xml:space="preserve">text</x:t>
        </x:is>
      </x:c>
      <x:c r="H168" t="inlineStr">
        <x:is>
          <x:t xml:space="preserve">instruct</x:t>
        </x:is>
      </x:c>
      <x:c r="I168" t="inlineStr">
        <x:is>
          <x:t xml:space="preserve">MoE</x:t>
        </x:is>
      </x:c>
      <x:c s="16" r="J168" t="inlineStr">
        <x:is>
          <x:t xml:space="preserve">open</x:t>
        </x:is>
      </x:c>
      <x:c s="17" r="K168" t="inlineStr">
        <x:is>
          <x:t xml:space="preserve">https://huggingface.co/Qwen/Qwen2-57B-A14B-Instruct</x:t>
        </x:is>
      </x:c>
      <x:c s="17" r="L168" t="inlineStr">
        <x:is>
          <x:t xml:space="preserve"/>
        </x:is>
      </x:c>
      <x:c s="14" r="M168" t="inlineStr">
        <x:is>
          <x:t xml:space="preserve">FP8/Q8_0/INT8</x:t>
        </x:is>
      </x:c>
      <x:c s="15" r="N168" t="n">
        <x:v>79.2</x:v>
      </x:c>
      <x:c s="14" r="O168" t="inlineStr">
        <x:is>
          <x:t xml:space="preserve">FP8/Q8_0/INT8</x:t>
        </x:is>
      </x:c>
      <x:c s="15" r="P168" t="n">
        <x:v>79.2</x:v>
      </x:c>
      <x:c s="14" r="Q168" t="inlineStr">
        <x:is>
          <x:t xml:space="preserve">Near limit</x:t>
        </x:is>
      </x:c>
      <x:c s="18" r="R168" t="inlineStr">
        <x:is>
          <x:t xml:space="preserve">Mixture-of-experts Qwen2 model.</x:t>
        </x:is>
      </x:c>
      <x:c s="14" r="S168" t="inlineStr">
        <x:is>
          <x:t xml:space="preserve">current_family_page_2026-03-27</x:t>
        </x:is>
      </x:c>
      <x:c s="17" r="T168" t="inlineStr">
        <x:is>
          <x:t xml:space="preserve">https://huggingface.co/collections/Qwen/qwen2-6659361987f473a0f12f57e7</x:t>
        </x:is>
      </x:c>
      <x:c s="14" r="U168" t="inlineStr">
        <x:is>
          <x:t xml:space="preserve">Transformers; GGUF; AWQ/GPTQ</x:t>
        </x:is>
      </x:c>
      <x:c s="15" r="V168" t="n">
        <x:v>154.5</x:v>
      </x:c>
      <x:c s="15" r="W168" t="n">
        <x:v>79.2</x:v>
      </x:c>
      <x:c s="15" r="X168" t="n">
        <x:v>60.4</x:v>
      </x:c>
      <x:c s="15" r="Y168" t="n">
        <x:v>51</x:v>
      </x:c>
      <x:c s="15" r="Z168" t="n">
        <x:v>41.6</x:v>
      </x:c>
      <x:c s="15" r="AA168" t="n">
        <x:v>32.2</x:v>
      </x:c>
      <x:c s="15" r="AB168" t="n">
        <x:v>22.8</x:v>
      </x:c>
    </x:row>
    <x:row r="169">
      <x:c r="A169" t="inlineStr">
        <x:is>
          <x:t xml:space="preserve">Qwen</x:t>
        </x:is>
      </x:c>
      <x:c s="14" r="B169" t="inlineStr">
        <x:is>
          <x:t xml:space="preserve">Qwen/Qwen3.5-35B-A3B</x:t>
        </x:is>
      </x:c>
      <x:c s="14" r="C169" t="inlineStr">
        <x:is>
          <x:t xml:space="preserve">Qwen3.5-35B-A3B</x:t>
        </x:is>
      </x:c>
      <x:c s="15" r="D169" t="n">
        <x:v>35</x:v>
      </x:c>
      <x:c s="15" r="E169" t="n">
        <x:v>3</x:v>
      </x:c>
      <x:c s="14" r="F169" t="inlineStr">
        <x:is>
          <x:t xml:space="preserve">multimodal</x:t>
        </x:is>
      </x:c>
      <x:c s="14" r="G169" t="inlineStr">
        <x:is>
          <x:t xml:space="preserve">text+vision</x:t>
        </x:is>
      </x:c>
      <x:c r="H169" t="inlineStr">
        <x:is>
          <x:t xml:space="preserve">multimodal</x:t>
        </x:is>
      </x:c>
      <x:c r="I169" t="inlineStr">
        <x:is>
          <x:t xml:space="preserve">MoE</x:t>
        </x:is>
      </x:c>
      <x:c s="16" r="J169" t="inlineStr">
        <x:is>
          <x:t xml:space="preserve">open</x:t>
        </x:is>
      </x:c>
      <x:c s="17" r="K169" t="inlineStr">
        <x:is>
          <x:t xml:space="preserve">https://huggingface.co/Qwen/Qwen3.5-35B-A3B</x:t>
        </x:is>
      </x:c>
      <x:c s="17" r="L169" t="inlineStr">
        <x:is>
          <x:t xml:space="preserve"/>
        </x:is>
      </x:c>
      <x:c s="14" r="M169" t="inlineStr">
        <x:is>
          <x:t xml:space="preserve">BF16/FP16</x:t>
        </x:is>
      </x:c>
      <x:c s="15" r="N169" t="n">
        <x:v>96.4</x:v>
      </x:c>
      <x:c s="14" r="O169" t="inlineStr">
        <x:is>
          <x:t xml:space="preserve">FP8/Q8_0/INT8</x:t>
        </x:is>
      </x:c>
      <x:c s="15" r="P169" t="n">
        <x:v>50.2</x:v>
      </x:c>
      <x:c s="14" r="Q169" t="inlineStr">
        <x:is>
          <x:t xml:space="preserve">Comfortable</x:t>
        </x:is>
      </x:c>
      <x:c s="18" r="R169" t="inlineStr">
        <x:is>
          <x:t xml:space="preserve">Qwen3.5 multimodal MoE family.</x:t>
        </x:is>
      </x:c>
      <x:c s="14" r="S169" t="inlineStr">
        <x:is>
          <x:t xml:space="preserve">current_org_page_2026-03-27</x:t>
        </x:is>
      </x:c>
      <x:c s="17" r="T169" t="inlineStr">
        <x:is>
          <x:t xml:space="preserve">https://huggingface.co/Qwen</x:t>
        </x:is>
      </x:c>
      <x:c s="14" r="U169" t="inlineStr">
        <x:is>
          <x:t xml:space="preserve">Transformers; GGUF; AWQ/GPTQ</x:t>
        </x:is>
      </x:c>
      <x:c s="15" r="V169" t="n">
        <x:v>96.4</x:v>
      </x:c>
      <x:c s="15" r="W169" t="n">
        <x:v>50.2</x:v>
      </x:c>
      <x:c s="15" r="X169" t="n">
        <x:v>38.7</x:v>
      </x:c>
      <x:c s="15" r="Y169" t="n">
        <x:v>32.9</x:v>
      </x:c>
      <x:c s="15" r="Z169" t="n">
        <x:v>27.1</x:v>
      </x:c>
      <x:c s="15" r="AA169" t="n">
        <x:v>21.3</x:v>
      </x:c>
      <x:c s="15" r="AB169" t="n">
        <x:v>15.6</x:v>
      </x:c>
    </x:row>
    <x:row r="170">
      <x:c r="A170" t="inlineStr">
        <x:is>
          <x:t xml:space="preserve">Qwen</x:t>
        </x:is>
      </x:c>
      <x:c s="14" r="B170" t="inlineStr">
        <x:is>
          <x:t xml:space="preserve">Qwen/Qwen3.6-35B-A3B</x:t>
        </x:is>
      </x:c>
      <x:c s="14" r="C170" t="inlineStr">
        <x:is>
          <x:t xml:space="preserve">Qwen3.6-35B-A3B</x:t>
        </x:is>
      </x:c>
      <x:c s="15" r="D170" t="n">
        <x:v>35</x:v>
      </x:c>
      <x:c s="15" r="E170" t="n">
        <x:v>3</x:v>
      </x:c>
      <x:c s="14" r="F170" t="inlineStr">
        <x:is>
          <x:t xml:space="preserve">agentic coding / multimodal</x:t>
        </x:is>
      </x:c>
      <x:c s="14" r="G170" t="inlineStr">
        <x:is>
          <x:t xml:space="preserve">text+vision</x:t>
        </x:is>
      </x:c>
      <x:c r="H170" t="inlineStr">
        <x:is>
          <x:t xml:space="preserve">multimodal</x:t>
        </x:is>
      </x:c>
      <x:c r="I170" t="inlineStr">
        <x:is>
          <x:t xml:space="preserve">MoE</x:t>
        </x:is>
      </x:c>
      <x:c s="16" r="J170" t="inlineStr">
        <x:is>
          <x:t xml:space="preserve">open</x:t>
        </x:is>
      </x:c>
      <x:c s="17" r="K170" t="inlineStr">
        <x:is>
          <x:t xml:space="preserve">https://huggingface.co/Qwen/Qwen3.6-35B-A3B</x:t>
        </x:is>
      </x:c>
      <x:c s="17" r="L170" t="inlineStr">
        <x:is>
          <x:t xml:space="preserve">https://huggingface.co/Qwen/Qwen3.6-35B-A3B-FP8</x:t>
        </x:is>
      </x:c>
      <x:c s="14" r="M170" t="inlineStr">
        <x:is>
          <x:t xml:space="preserve">BF16/FP16</x:t>
        </x:is>
      </x:c>
      <x:c s="15" r="N170" t="n">
        <x:v>96.4</x:v>
      </x:c>
      <x:c s="14" r="O170" t="inlineStr">
        <x:is>
          <x:t xml:space="preserve">FP8/Q8_0/INT8</x:t>
        </x:is>
      </x:c>
      <x:c s="15" r="P170" t="n">
        <x:v>50.2</x:v>
      </x:c>
      <x:c s="14" r="Q170" t="inlineStr">
        <x:is>
          <x:t xml:space="preserve">Comfortable</x:t>
        </x:is>
      </x:c>
      <x:c s="18" r="R170" t="inlineStr">
        <x:is>
          <x:t xml:space="preserve">Qwen3.6 open-weight multimodal MoE; official FP8 repo available.</x:t>
        </x:is>
      </x:c>
      <x:c s="14" r="S170" t="inlineStr">
        <x:is>
          <x:t xml:space="preserve">current_repo_page_2026-04-21</x:t>
        </x:is>
      </x:c>
      <x:c s="17" r="T170" t="inlineStr">
        <x:is>
          <x:t xml:space="preserve">https://huggingface.co/Qwen</x:t>
        </x:is>
      </x:c>
      <x:c s="14" r="U170" t="inlineStr">
        <x:is>
          <x:t xml:space="preserve">Transformers; FP8; community GGUF</x:t>
        </x:is>
      </x:c>
      <x:c s="15" r="V170" t="n">
        <x:v>96.4</x:v>
      </x:c>
      <x:c s="15" r="W170" t="n">
        <x:v>50.2</x:v>
      </x:c>
      <x:c s="15" r="X170" t="n">
        <x:v>38.7</x:v>
      </x:c>
      <x:c s="15" r="Y170" t="n">
        <x:v>32.9</x:v>
      </x:c>
      <x:c s="15" r="Z170" t="n">
        <x:v>27.1</x:v>
      </x:c>
      <x:c s="15" r="AA170" t="n">
        <x:v>21.3</x:v>
      </x:c>
      <x:c s="15" r="AB170" t="n">
        <x:v>15.6</x:v>
      </x:c>
    </x:row>
    <x:row r="171">
      <x:c r="A171" t="inlineStr">
        <x:is>
          <x:t xml:space="preserve">Qwen</x:t>
        </x:is>
      </x:c>
      <x:c s="14" r="B171" t="inlineStr">
        <x:is>
          <x:t xml:space="preserve">Qwen/QwQ-32B</x:t>
        </x:is>
      </x:c>
      <x:c s="14" r="C171" t="inlineStr">
        <x:is>
          <x:t xml:space="preserve">QwQ-32B</x:t>
        </x:is>
      </x:c>
      <x:c s="15" r="D171" t="n">
        <x:v>32</x:v>
      </x:c>
      <x:c s="15" r="E171"/>
      <x:c s="14" r="F171" t="inlineStr">
        <x:is>
          <x:t xml:space="preserve">reasoning</x:t>
        </x:is>
      </x:c>
      <x:c s="14" r="G171" t="inlineStr">
        <x:is>
          <x:t xml:space="preserve">text</x:t>
        </x:is>
      </x:c>
      <x:c r="H171" t="inlineStr">
        <x:is>
          <x:t xml:space="preserve">reasoning</x:t>
        </x:is>
      </x:c>
      <x:c r="I171" t="inlineStr">
        <x:is>
          <x:t xml:space="preserve">Dense</x:t>
        </x:is>
      </x:c>
      <x:c s="16" r="J171" t="inlineStr">
        <x:is>
          <x:t xml:space="preserve">open</x:t>
        </x:is>
      </x:c>
      <x:c s="17" r="K171" t="inlineStr">
        <x:is>
          <x:t xml:space="preserve">https://huggingface.co/Qwen/QwQ-32B</x:t>
        </x:is>
      </x:c>
      <x:c s="17" r="L171" t="inlineStr">
        <x:is>
          <x:t xml:space="preserve">https://huggingface.co/Qwen/QwQ-32B-GGUF</x:t>
        </x:is>
      </x:c>
      <x:c s="14" r="M171" t="inlineStr">
        <x:is>
          <x:t xml:space="preserve">BF16/FP16</x:t>
        </x:is>
      </x:c>
      <x:c s="15" r="N171" t="n">
        <x:v>85</x:v>
      </x:c>
      <x:c s="14" r="O171" t="inlineStr">
        <x:is>
          <x:t xml:space="preserve">BF16/FP16</x:t>
        </x:is>
      </x:c>
      <x:c s="15" r="P171" t="n">
        <x:v>85</x:v>
      </x:c>
      <x:c s="14" r="Q171" t="inlineStr">
        <x:is>
          <x:t xml:space="preserve">Near limit</x:t>
        </x:is>
      </x:c>
      <x:c s="18" r="R171" t="inlineStr">
        <x:is>
          <x:t xml:space="preserve">Reasoning-focused Qwen model.</x:t>
        </x:is>
      </x:c>
      <x:c s="14" r="S171" t="inlineStr">
        <x:is>
          <x:t xml:space="preserve">current_family_page_2026-03-27</x:t>
        </x:is>
      </x:c>
      <x:c s="17" r="T171" t="inlineStr">
        <x:is>
          <x:t xml:space="preserve">https://huggingface.co/collections/Qwen/qwq-32b-67b8f50ac9f53ebcc8ec7537</x:t>
        </x:is>
      </x:c>
      <x:c s="14" r="U171" t="inlineStr">
        <x:is>
          <x:t xml:space="preserve">Transformers; GGUF; AWQ/GPTQ</x:t>
        </x:is>
      </x:c>
      <x:c s="15" r="V171" t="n">
        <x:v>85</x:v>
      </x:c>
      <x:c s="15" r="W171" t="n">
        <x:v>44.5</x:v>
      </x:c>
      <x:c s="15" r="X171" t="n">
        <x:v>34.4</x:v>
      </x:c>
      <x:c s="15" r="Y171" t="n">
        <x:v>29.3</x:v>
      </x:c>
      <x:c s="15" r="Z171" t="n">
        <x:v>24.2</x:v>
      </x:c>
      <x:c s="15" r="AA171" t="n">
        <x:v>19.2</x:v>
      </x:c>
      <x:c s="15" r="AB171" t="n">
        <x:v>14.1</x:v>
      </x:c>
    </x:row>
    <x:row r="172">
      <x:c r="A172" t="inlineStr">
        <x:is>
          <x:t xml:space="preserve">Qwen</x:t>
        </x:is>
      </x:c>
      <x:c s="14" r="B172" t="inlineStr">
        <x:is>
          <x:t xml:space="preserve">Qwen/Qwen2.5-32B</x:t>
        </x:is>
      </x:c>
      <x:c s="14" r="C172" t="inlineStr">
        <x:is>
          <x:t xml:space="preserve">Qwen2.5-32B</x:t>
        </x:is>
      </x:c>
      <x:c s="15" r="D172" t="n">
        <x:v>32</x:v>
      </x:c>
      <x:c s="15" r="E172"/>
      <x:c s="14" r="F172" t="inlineStr">
        <x:is>
          <x:t xml:space="preserve">general</x:t>
        </x:is>
      </x:c>
      <x:c s="14" r="G172" t="inlineStr">
        <x:is>
          <x:t xml:space="preserve">text</x:t>
        </x:is>
      </x:c>
      <x:c r="H172" t="inlineStr">
        <x:is>
          <x:t xml:space="preserve">base</x:t>
        </x:is>
      </x:c>
      <x:c r="I172" t="inlineStr">
        <x:is>
          <x:t xml:space="preserve">Dense</x:t>
        </x:is>
      </x:c>
      <x:c s="16" r="J172" t="inlineStr">
        <x:is>
          <x:t xml:space="preserve">open</x:t>
        </x:is>
      </x:c>
      <x:c s="17" r="K172" t="inlineStr">
        <x:is>
          <x:t xml:space="preserve">https://huggingface.co/Qwen/Qwen2.5-32B</x:t>
        </x:is>
      </x:c>
      <x:c s="17" r="L172" t="inlineStr">
        <x:is>
          <x:t xml:space="preserve"/>
        </x:is>
      </x:c>
      <x:c s="14" r="M172" t="inlineStr">
        <x:is>
          <x:t xml:space="preserve">BF16/FP16</x:t>
        </x:is>
      </x:c>
      <x:c s="15" r="N172" t="n">
        <x:v>85</x:v>
      </x:c>
      <x:c s="14" r="O172" t="inlineStr">
        <x:is>
          <x:t xml:space="preserve">BF16/FP16</x:t>
        </x:is>
      </x:c>
      <x:c s="15" r="P172" t="n">
        <x:v>85</x:v>
      </x:c>
      <x:c s="14" r="Q172" t="inlineStr">
        <x:is>
          <x:t xml:space="preserve">Near limit</x:t>
        </x:is>
      </x:c>
      <x:c s="18" r="R172" t="inlineStr">
        <x:is>
          <x:t xml:space="preserve">Mainstream Qwen 2.5 family.</x:t>
        </x:is>
      </x:c>
      <x:c s="14" r="S172" t="inlineStr">
        <x:is>
          <x:t xml:space="preserve">current_family_page_2026-03-27</x:t>
        </x:is>
      </x:c>
      <x:c s="17" r="T172" t="inlineStr">
        <x:is>
          <x:t xml:space="preserve">https://huggingface.co/collections/Qwen/qwen25-66e81a666513e518adb90d9e</x:t>
        </x:is>
      </x:c>
      <x:c s="14" r="U172" t="inlineStr">
        <x:is>
          <x:t xml:space="preserve">Transformers; GGUF; AWQ/GPTQ</x:t>
        </x:is>
      </x:c>
      <x:c s="15" r="V172" t="n">
        <x:v>85</x:v>
      </x:c>
      <x:c s="15" r="W172" t="n">
        <x:v>44.5</x:v>
      </x:c>
      <x:c s="15" r="X172" t="n">
        <x:v>34.4</x:v>
      </x:c>
      <x:c s="15" r="Y172" t="n">
        <x:v>29.3</x:v>
      </x:c>
      <x:c s="15" r="Z172" t="n">
        <x:v>24.2</x:v>
      </x:c>
      <x:c s="15" r="AA172" t="n">
        <x:v>19.2</x:v>
      </x:c>
      <x:c s="15" r="AB172" t="n">
        <x:v>14.1</x:v>
      </x:c>
    </x:row>
    <x:row r="173">
      <x:c r="A173" t="inlineStr">
        <x:is>
          <x:t xml:space="preserve">Qwen</x:t>
        </x:is>
      </x:c>
      <x:c s="14" r="B173" t="inlineStr">
        <x:is>
          <x:t xml:space="preserve">Qwen/Qwen2.5-32B-Instruct</x:t>
        </x:is>
      </x:c>
      <x:c s="14" r="C173" t="inlineStr">
        <x:is>
          <x:t xml:space="preserve">Qwen2.5-32B-Instruct</x:t>
        </x:is>
      </x:c>
      <x:c s="15" r="D173" t="n">
        <x:v>32</x:v>
      </x:c>
      <x:c s="15" r="E173"/>
      <x:c s="14" r="F173" t="inlineStr">
        <x:is>
          <x:t xml:space="preserve">general chat</x:t>
        </x:is>
      </x:c>
      <x:c s="14" r="G173" t="inlineStr">
        <x:is>
          <x:t xml:space="preserve">text</x:t>
        </x:is>
      </x:c>
      <x:c r="H173" t="inlineStr">
        <x:is>
          <x:t xml:space="preserve">instruct</x:t>
        </x:is>
      </x:c>
      <x:c r="I173" t="inlineStr">
        <x:is>
          <x:t xml:space="preserve">Dense</x:t>
        </x:is>
      </x:c>
      <x:c s="16" r="J173" t="inlineStr">
        <x:is>
          <x:t xml:space="preserve">open</x:t>
        </x:is>
      </x:c>
      <x:c s="17" r="K173" t="inlineStr">
        <x:is>
          <x:t xml:space="preserve">https://huggingface.co/Qwen/Qwen2.5-32B-Instruct</x:t>
        </x:is>
      </x:c>
      <x:c s="17" r="L173" t="inlineStr">
        <x:is>
          <x:t xml:space="preserve">https://huggingface.co/Qwen/Qwen2.5-32B-Instruct-GGUF</x:t>
        </x:is>
      </x:c>
      <x:c s="14" r="M173" t="inlineStr">
        <x:is>
          <x:t xml:space="preserve">BF16/FP16</x:t>
        </x:is>
      </x:c>
      <x:c s="15" r="N173" t="n">
        <x:v>85</x:v>
      </x:c>
      <x:c s="14" r="O173" t="inlineStr">
        <x:is>
          <x:t xml:space="preserve">BF16/FP16</x:t>
        </x:is>
      </x:c>
      <x:c s="15" r="P173" t="n">
        <x:v>85</x:v>
      </x:c>
      <x:c s="14" r="Q173" t="inlineStr">
        <x:is>
          <x:t xml:space="preserve">Near limit</x:t>
        </x:is>
      </x:c>
      <x:c s="18" r="R173" t="inlineStr">
        <x:is>
          <x:t xml:space="preserve">Mainstream Qwen 2.5 family.</x:t>
        </x:is>
      </x:c>
      <x:c s="14" r="S173" t="inlineStr">
        <x:is>
          <x:t xml:space="preserve">current_family_page_2026-03-27</x:t>
        </x:is>
      </x:c>
      <x:c s="17" r="T173" t="inlineStr">
        <x:is>
          <x:t xml:space="preserve">https://huggingface.co/collections/Qwen/qwen25-66e81a666513e518adb90d9e</x:t>
        </x:is>
      </x:c>
      <x:c s="14" r="U173" t="inlineStr">
        <x:is>
          <x:t xml:space="preserve">Transformers; GGUF; AWQ/GPTQ</x:t>
        </x:is>
      </x:c>
      <x:c s="15" r="V173" t="n">
        <x:v>85</x:v>
      </x:c>
      <x:c s="15" r="W173" t="n">
        <x:v>44.5</x:v>
      </x:c>
      <x:c s="15" r="X173" t="n">
        <x:v>34.4</x:v>
      </x:c>
      <x:c s="15" r="Y173" t="n">
        <x:v>29.3</x:v>
      </x:c>
      <x:c s="15" r="Z173" t="n">
        <x:v>24.2</x:v>
      </x:c>
      <x:c s="15" r="AA173" t="n">
        <x:v>19.2</x:v>
      </x:c>
      <x:c s="15" r="AB173" t="n">
        <x:v>14.1</x:v>
      </x:c>
    </x:row>
    <x:row r="174">
      <x:c r="A174" t="inlineStr">
        <x:is>
          <x:t xml:space="preserve">Qwen</x:t>
        </x:is>
      </x:c>
      <x:c s="14" r="B174" t="inlineStr">
        <x:is>
          <x:t xml:space="preserve">Qwen/Qwen2.5-Coder-32B</x:t>
        </x:is>
      </x:c>
      <x:c s="14" r="C174" t="inlineStr">
        <x:is>
          <x:t xml:space="preserve">Qwen2.5-Coder-32B</x:t>
        </x:is>
      </x:c>
      <x:c s="15" r="D174" t="n">
        <x:v>32</x:v>
      </x:c>
      <x:c s="15" r="E174"/>
      <x:c s="14" r="F174" t="inlineStr">
        <x:is>
          <x:t xml:space="preserve">coding</x:t>
        </x:is>
      </x:c>
      <x:c s="14" r="G174" t="inlineStr">
        <x:is>
          <x:t xml:space="preserve">text</x:t>
        </x:is>
      </x:c>
      <x:c r="H174" t="inlineStr">
        <x:is>
          <x:t xml:space="preserve">base</x:t>
        </x:is>
      </x:c>
      <x:c r="I174" t="inlineStr">
        <x:is>
          <x:t xml:space="preserve">Dense</x:t>
        </x:is>
      </x:c>
      <x:c s="16" r="J174" t="inlineStr">
        <x:is>
          <x:t xml:space="preserve">open</x:t>
        </x:is>
      </x:c>
      <x:c s="17" r="K174" t="inlineStr">
        <x:is>
          <x:t xml:space="preserve">https://huggingface.co/Qwen/Qwen2.5-Coder-32B</x:t>
        </x:is>
      </x:c>
      <x:c s="17" r="L174" t="inlineStr">
        <x:is>
          <x:t xml:space="preserve"/>
        </x:is>
      </x:c>
      <x:c s="14" r="M174" t="inlineStr">
        <x:is>
          <x:t xml:space="preserve">BF16/FP16</x:t>
        </x:is>
      </x:c>
      <x:c s="15" r="N174" t="n">
        <x:v>85</x:v>
      </x:c>
      <x:c s="14" r="O174" t="inlineStr">
        <x:is>
          <x:t xml:space="preserve">BF16/FP16</x:t>
        </x:is>
      </x:c>
      <x:c s="15" r="P174" t="n">
        <x:v>85</x:v>
      </x:c>
      <x:c s="14" r="Q174" t="inlineStr">
        <x:is>
          <x:t xml:space="preserve">Near limit</x:t>
        </x:is>
      </x:c>
      <x:c s="18" r="R174" t="inlineStr">
        <x:is>
          <x:t xml:space="preserve">Code-specialized Qwen 2.5 family.</x:t>
        </x:is>
      </x:c>
      <x:c s="14" r="S174" t="inlineStr">
        <x:is>
          <x:t xml:space="preserve">current_family_page_2026-03-27</x:t>
        </x:is>
      </x:c>
      <x:c s="17" r="T174" t="inlineStr">
        <x:is>
          <x:t xml:space="preserve">https://huggingface.co/collections/Qwen/qwen25-coder-66f2e9e3bdbf8f6bcb2e315b</x:t>
        </x:is>
      </x:c>
      <x:c s="14" r="U174" t="inlineStr">
        <x:is>
          <x:t xml:space="preserve">Transformers; GGUF; AWQ/GPTQ</x:t>
        </x:is>
      </x:c>
      <x:c s="15" r="V174" t="n">
        <x:v>85</x:v>
      </x:c>
      <x:c s="15" r="W174" t="n">
        <x:v>44.5</x:v>
      </x:c>
      <x:c s="15" r="X174" t="n">
        <x:v>34.4</x:v>
      </x:c>
      <x:c s="15" r="Y174" t="n">
        <x:v>29.3</x:v>
      </x:c>
      <x:c s="15" r="Z174" t="n">
        <x:v>24.2</x:v>
      </x:c>
      <x:c s="15" r="AA174" t="n">
        <x:v>19.2</x:v>
      </x:c>
      <x:c s="15" r="AB174" t="n">
        <x:v>14.1</x:v>
      </x:c>
    </x:row>
    <x:row r="175">
      <x:c r="A175" t="inlineStr">
        <x:is>
          <x:t xml:space="preserve">Qwen</x:t>
        </x:is>
      </x:c>
      <x:c s="14" r="B175" t="inlineStr">
        <x:is>
          <x:t xml:space="preserve">Qwen/Qwen2.5-Coder-32B-Instruct</x:t>
        </x:is>
      </x:c>
      <x:c s="14" r="C175" t="inlineStr">
        <x:is>
          <x:t xml:space="preserve">Qwen2.5-Coder-32B-Instruct</x:t>
        </x:is>
      </x:c>
      <x:c s="15" r="D175" t="n">
        <x:v>32</x:v>
      </x:c>
      <x:c s="15" r="E175"/>
      <x:c s="14" r="F175" t="inlineStr">
        <x:is>
          <x:t xml:space="preserve">coding chat</x:t>
        </x:is>
      </x:c>
      <x:c s="14" r="G175" t="inlineStr">
        <x:is>
          <x:t xml:space="preserve">text</x:t>
        </x:is>
      </x:c>
      <x:c r="H175" t="inlineStr">
        <x:is>
          <x:t xml:space="preserve">instruct</x:t>
        </x:is>
      </x:c>
      <x:c r="I175" t="inlineStr">
        <x:is>
          <x:t xml:space="preserve">Dense</x:t>
        </x:is>
      </x:c>
      <x:c s="16" r="J175" t="inlineStr">
        <x:is>
          <x:t xml:space="preserve">open</x:t>
        </x:is>
      </x:c>
      <x:c s="17" r="K175" t="inlineStr">
        <x:is>
          <x:t xml:space="preserve">https://huggingface.co/Qwen/Qwen2.5-Coder-32B-Instruct</x:t>
        </x:is>
      </x:c>
      <x:c s="17" r="L175" t="inlineStr">
        <x:is>
          <x:t xml:space="preserve">https://huggingface.co/Qwen/Qwen2.5-Coder-32B-Instruct-GGUF</x:t>
        </x:is>
      </x:c>
      <x:c s="14" r="M175" t="inlineStr">
        <x:is>
          <x:t xml:space="preserve">BF16/FP16</x:t>
        </x:is>
      </x:c>
      <x:c s="15" r="N175" t="n">
        <x:v>85</x:v>
      </x:c>
      <x:c s="14" r="O175" t="inlineStr">
        <x:is>
          <x:t xml:space="preserve">BF16/FP16</x:t>
        </x:is>
      </x:c>
      <x:c s="15" r="P175" t="n">
        <x:v>85</x:v>
      </x:c>
      <x:c s="14" r="Q175" t="inlineStr">
        <x:is>
          <x:t xml:space="preserve">Near limit</x:t>
        </x:is>
      </x:c>
      <x:c s="18" r="R175" t="inlineStr">
        <x:is>
          <x:t xml:space="preserve">Code-specialized Qwen 2.5 family.</x:t>
        </x:is>
      </x:c>
      <x:c s="14" r="S175" t="inlineStr">
        <x:is>
          <x:t xml:space="preserve">current_family_page_2026-03-27</x:t>
        </x:is>
      </x:c>
      <x:c s="17" r="T175" t="inlineStr">
        <x:is>
          <x:t xml:space="preserve">https://huggingface.co/collections/Qwen/qwen25-coder-66f2e9e3bdbf8f6bcb2e315b</x:t>
        </x:is>
      </x:c>
      <x:c s="14" r="U175" t="inlineStr">
        <x:is>
          <x:t xml:space="preserve">Transformers; GGUF; AWQ/GPTQ</x:t>
        </x:is>
      </x:c>
      <x:c s="15" r="V175" t="n">
        <x:v>85</x:v>
      </x:c>
      <x:c s="15" r="W175" t="n">
        <x:v>44.5</x:v>
      </x:c>
      <x:c s="15" r="X175" t="n">
        <x:v>34.4</x:v>
      </x:c>
      <x:c s="15" r="Y175" t="n">
        <x:v>29.3</x:v>
      </x:c>
      <x:c s="15" r="Z175" t="n">
        <x:v>24.2</x:v>
      </x:c>
      <x:c s="15" r="AA175" t="n">
        <x:v>19.2</x:v>
      </x:c>
      <x:c s="15" r="AB175" t="n">
        <x:v>14.1</x:v>
      </x:c>
    </x:row>
    <x:row r="176">
      <x:c r="A176" t="inlineStr">
        <x:is>
          <x:t xml:space="preserve">Qwen</x:t>
        </x:is>
      </x:c>
      <x:c s="14" r="B176" t="inlineStr">
        <x:is>
          <x:t xml:space="preserve">Qwen/Qwen2.5-VL-32B-Instruct</x:t>
        </x:is>
      </x:c>
      <x:c s="14" r="C176" t="inlineStr">
        <x:is>
          <x:t xml:space="preserve">Qwen2.5-VL-32B-Instruct</x:t>
        </x:is>
      </x:c>
      <x:c s="15" r="D176" t="n">
        <x:v>32</x:v>
      </x:c>
      <x:c s="15" r="E176"/>
      <x:c s="14" r="F176" t="inlineStr">
        <x:is>
          <x:t xml:space="preserve">multimodal chat</x:t>
        </x:is>
      </x:c>
      <x:c s="14" r="G176" t="inlineStr">
        <x:is>
          <x:t xml:space="preserve">text+vision</x:t>
        </x:is>
      </x:c>
      <x:c r="H176" t="inlineStr">
        <x:is>
          <x:t xml:space="preserve">instruct</x:t>
        </x:is>
      </x:c>
      <x:c r="I176" t="inlineStr">
        <x:is>
          <x:t xml:space="preserve">Dense</x:t>
        </x:is>
      </x:c>
      <x:c s="16" r="J176" t="inlineStr">
        <x:is>
          <x:t xml:space="preserve">open</x:t>
        </x:is>
      </x:c>
      <x:c s="17" r="K176" t="inlineStr">
        <x:is>
          <x:t xml:space="preserve">https://huggingface.co/Qwen/Qwen2.5-VL-32B-Instruct</x:t>
        </x:is>
      </x:c>
      <x:c s="17" r="L176" t="inlineStr">
        <x:is>
          <x:t xml:space="preserve"/>
        </x:is>
      </x:c>
      <x:c s="14" r="M176" t="inlineStr">
        <x:is>
          <x:t xml:space="preserve">BF16/FP16</x:t>
        </x:is>
      </x:c>
      <x:c s="15" r="N176" t="n">
        <x:v>85</x:v>
      </x:c>
      <x:c s="14" r="O176" t="inlineStr">
        <x:is>
          <x:t xml:space="preserve">BF16/FP16</x:t>
        </x:is>
      </x:c>
      <x:c s="15" r="P176" t="n">
        <x:v>85</x:v>
      </x:c>
      <x:c s="14" r="Q176" t="inlineStr">
        <x:is>
          <x:t xml:space="preserve">Near limit</x:t>
        </x:is>
      </x:c>
      <x:c s="18" r="R176" t="inlineStr">
        <x:is>
          <x:t xml:space="preserve">Qwen 2.5 VL multimodal family.</x:t>
        </x:is>
      </x:c>
      <x:c s="14" r="S176" t="inlineStr">
        <x:is>
          <x:t xml:space="preserve">current_family_page_2026-03-27</x:t>
        </x:is>
      </x:c>
      <x:c s="17" r="T176" t="inlineStr">
        <x:is>
          <x:t xml:space="preserve">https://huggingface.co/collections/Qwen/qwen25-vl-6795ffac22b334a837c0f9a5</x:t>
        </x:is>
      </x:c>
      <x:c s="14" r="U176" t="inlineStr">
        <x:is>
          <x:t xml:space="preserve">Transformers; GGUF; AWQ/GPTQ</x:t>
        </x:is>
      </x:c>
      <x:c s="15" r="V176" t="n">
        <x:v>85</x:v>
      </x:c>
      <x:c s="15" r="W176" t="n">
        <x:v>44.5</x:v>
      </x:c>
      <x:c s="15" r="X176" t="n">
        <x:v>34.4</x:v>
      </x:c>
      <x:c s="15" r="Y176" t="n">
        <x:v>29.3</x:v>
      </x:c>
      <x:c s="15" r="Z176" t="n">
        <x:v>24.2</x:v>
      </x:c>
      <x:c s="15" r="AA176" t="n">
        <x:v>19.2</x:v>
      </x:c>
      <x:c s="15" r="AB176" t="n">
        <x:v>14.1</x:v>
      </x:c>
    </x:row>
    <x:row r="177">
      <x:c r="A177" t="inlineStr">
        <x:is>
          <x:t xml:space="preserve">Qwen</x:t>
        </x:is>
      </x:c>
      <x:c s="14" r="B177" t="inlineStr">
        <x:is>
          <x:t xml:space="preserve">Qwen/Qwen3-32B</x:t>
        </x:is>
      </x:c>
      <x:c s="14" r="C177" t="inlineStr">
        <x:is>
          <x:t xml:space="preserve">Qwen3-32B</x:t>
        </x:is>
      </x:c>
      <x:c s="15" r="D177" t="n">
        <x:v>32</x:v>
      </x:c>
      <x:c s="15" r="E177"/>
      <x:c s="14" r="F177" t="inlineStr">
        <x:is>
          <x:t xml:space="preserve">general / reasoning dual-mode</x:t>
        </x:is>
      </x:c>
      <x:c s="14" r="G177" t="inlineStr">
        <x:is>
          <x:t xml:space="preserve">text</x:t>
        </x:is>
      </x:c>
      <x:c r="H177" t="inlineStr">
        <x:is>
          <x:t xml:space="preserve">dual-mode</x:t>
        </x:is>
      </x:c>
      <x:c r="I177" t="inlineStr">
        <x:is>
          <x:t xml:space="preserve">Dense</x:t>
        </x:is>
      </x:c>
      <x:c s="16" r="J177" t="inlineStr">
        <x:is>
          <x:t xml:space="preserve">open</x:t>
        </x:is>
      </x:c>
      <x:c s="17" r="K177" t="inlineStr">
        <x:is>
          <x:t xml:space="preserve">https://huggingface.co/Qwen/Qwen3-32B</x:t>
        </x:is>
      </x:c>
      <x:c s="17" r="L177" t="inlineStr">
        <x:is>
          <x:t xml:space="preserve">https://huggingface.co/Qwen/Qwen3-32B-GGUF</x:t>
        </x:is>
      </x:c>
      <x:c s="14" r="M177" t="inlineStr">
        <x:is>
          <x:t xml:space="preserve">BF16/FP16</x:t>
        </x:is>
      </x:c>
      <x:c s="15" r="N177" t="n">
        <x:v>85</x:v>
      </x:c>
      <x:c s="14" r="O177" t="inlineStr">
        <x:is>
          <x:t xml:space="preserve">BF16/FP16</x:t>
        </x:is>
      </x:c>
      <x:c s="15" r="P177" t="n">
        <x:v>85</x:v>
      </x:c>
      <x:c s="14" r="Q177" t="inlineStr">
        <x:is>
          <x:t xml:space="preserve">Near limit</x:t>
        </x:is>
      </x:c>
      <x:c s="18" r="R177" t="inlineStr">
        <x:is>
          <x:t xml:space="preserve">Qwen3 dense family supports thinking and non-thinking modes.</x:t>
        </x:is>
      </x:c>
      <x:c s="14" r="S177" t="inlineStr">
        <x:is>
          <x:t xml:space="preserve">current_repo_page_2026-03-27</x:t>
        </x:is>
      </x:c>
      <x:c s="17" r="T177" t="inlineStr">
        <x:is>
          <x:t xml:space="preserve">https://huggingface.co/Qwen/Qwen3-32B</x:t>
        </x:is>
      </x:c>
      <x:c s="14" r="U177" t="inlineStr">
        <x:is>
          <x:t xml:space="preserve">Transformers; GGUF; AWQ/GPTQ</x:t>
        </x:is>
      </x:c>
      <x:c s="15" r="V177" t="n">
        <x:v>85</x:v>
      </x:c>
      <x:c s="15" r="W177" t="n">
        <x:v>44.5</x:v>
      </x:c>
      <x:c s="15" r="X177" t="n">
        <x:v>34.4</x:v>
      </x:c>
      <x:c s="15" r="Y177" t="n">
        <x:v>29.3</x:v>
      </x:c>
      <x:c s="15" r="Z177" t="n">
        <x:v>24.2</x:v>
      </x:c>
      <x:c s="15" r="AA177" t="n">
        <x:v>19.2</x:v>
      </x:c>
      <x:c s="15" r="AB177" t="n">
        <x:v>14.1</x:v>
      </x:c>
    </x:row>
    <x:row r="178">
      <x:c r="A178" t="inlineStr">
        <x:is>
          <x:t xml:space="preserve">Qwen</x:t>
        </x:is>
      </x:c>
      <x:c s="14" r="B178" t="inlineStr">
        <x:is>
          <x:t xml:space="preserve">Qwen/Qwen3-30B-A3B</x:t>
        </x:is>
      </x:c>
      <x:c s="14" r="C178" t="inlineStr">
        <x:is>
          <x:t xml:space="preserve">Qwen3-30B-A3B</x:t>
        </x:is>
      </x:c>
      <x:c s="15" r="D178" t="n">
        <x:v>30.5</x:v>
      </x:c>
      <x:c s="15" r="E178" t="n">
        <x:v>3.3</x:v>
      </x:c>
      <x:c s="14" r="F178" t="inlineStr">
        <x:is>
          <x:t xml:space="preserve">general / reasoning dual-mode</x:t>
        </x:is>
      </x:c>
      <x:c s="14" r="G178" t="inlineStr">
        <x:is>
          <x:t xml:space="preserve">text</x:t>
        </x:is>
      </x:c>
      <x:c r="H178" t="inlineStr">
        <x:is>
          <x:t xml:space="preserve">dual-mode</x:t>
        </x:is>
      </x:c>
      <x:c r="I178" t="inlineStr">
        <x:is>
          <x:t xml:space="preserve">MoE</x:t>
        </x:is>
      </x:c>
      <x:c s="16" r="J178" t="inlineStr">
        <x:is>
          <x:t xml:space="preserve">open</x:t>
        </x:is>
      </x:c>
      <x:c s="17" r="K178" t="inlineStr">
        <x:is>
          <x:t xml:space="preserve">https://huggingface.co/Qwen/Qwen3-30B-A3B</x:t>
        </x:is>
      </x:c>
      <x:c s="17" r="L178" t="inlineStr">
        <x:is>
          <x:t xml:space="preserve">https://huggingface.co/Qwen/Qwen3-30B-A3B-GGUF</x:t>
        </x:is>
      </x:c>
      <x:c s="14" r="M178" t="inlineStr">
        <x:is>
          <x:t xml:space="preserve">BF16/FP16</x:t>
        </x:is>
      </x:c>
      <x:c s="15" r="N178" t="n">
        <x:v>84.5</x:v>
      </x:c>
      <x:c s="14" r="O178" t="inlineStr">
        <x:is>
          <x:t xml:space="preserve">BF16/FP16</x:t>
        </x:is>
      </x:c>
      <x:c s="15" r="P178" t="n">
        <x:v>84.5</x:v>
      </x:c>
      <x:c s="14" r="Q178" t="inlineStr">
        <x:is>
          <x:t xml:space="preserve">Near limit</x:t>
        </x:is>
      </x:c>
      <x:c s="18" r="R178" t="inlineStr">
        <x:is>
          <x:t xml:space="preserve">MoE Qwen3 model; 3.3B active / 30.5B total.</x:t>
        </x:is>
      </x:c>
      <x:c s="14" r="S178" t="inlineStr">
        <x:is>
          <x:t xml:space="preserve">current_repo_page_2026-03-27</x:t>
        </x:is>
      </x:c>
      <x:c s="17" r="T178" t="inlineStr">
        <x:is>
          <x:t xml:space="preserve">https://huggingface.co/Qwen/Qwen3-30B-A3B</x:t>
        </x:is>
      </x:c>
      <x:c s="14" r="U178" t="inlineStr">
        <x:is>
          <x:t xml:space="preserve">Transformers; GGUF; AWQ/GPTQ</x:t>
        </x:is>
      </x:c>
      <x:c s="15" r="V178" t="n">
        <x:v>84.5</x:v>
      </x:c>
      <x:c s="15" r="W178" t="n">
        <x:v>44.3</x:v>
      </x:c>
      <x:c s="15" r="X178" t="n">
        <x:v>34.2</x:v>
      </x:c>
      <x:c s="15" r="Y178" t="n">
        <x:v>29.2</x:v>
      </x:c>
      <x:c s="15" r="Z178" t="n">
        <x:v>24.1</x:v>
      </x:c>
      <x:c s="15" r="AA178" t="n">
        <x:v>19.1</x:v>
      </x:c>
      <x:c s="15" r="AB178" t="n">
        <x:v>14.1</x:v>
      </x:c>
    </x:row>
    <x:row r="179">
      <x:c r="A179" t="inlineStr">
        <x:is>
          <x:t xml:space="preserve">Qwen</x:t>
        </x:is>
      </x:c>
      <x:c s="14" r="B179" t="inlineStr">
        <x:is>
          <x:t xml:space="preserve">Qwen/Qwen3-30B-A3B-Base</x:t>
        </x:is>
      </x:c>
      <x:c s="14" r="C179" t="inlineStr">
        <x:is>
          <x:t xml:space="preserve">Qwen3-30B-A3B-Base</x:t>
        </x:is>
      </x:c>
      <x:c s="15" r="D179" t="n">
        <x:v>30.5</x:v>
      </x:c>
      <x:c s="15" r="E179" t="n">
        <x:v>3.3</x:v>
      </x:c>
      <x:c s="14" r="F179" t="inlineStr">
        <x:is>
          <x:t xml:space="preserve">general</x:t>
        </x:is>
      </x:c>
      <x:c s="14" r="G179" t="inlineStr">
        <x:is>
          <x:t xml:space="preserve">text</x:t>
        </x:is>
      </x:c>
      <x:c r="H179" t="inlineStr">
        <x:is>
          <x:t xml:space="preserve">base</x:t>
        </x:is>
      </x:c>
      <x:c r="I179" t="inlineStr">
        <x:is>
          <x:t xml:space="preserve">MoE</x:t>
        </x:is>
      </x:c>
      <x:c s="16" r="J179" t="inlineStr">
        <x:is>
          <x:t xml:space="preserve">open</x:t>
        </x:is>
      </x:c>
      <x:c s="17" r="K179" t="inlineStr">
        <x:is>
          <x:t xml:space="preserve">https://huggingface.co/Qwen/Qwen3-30B-A3B-Base</x:t>
        </x:is>
      </x:c>
      <x:c s="17" r="L179" t="inlineStr">
        <x:is>
          <x:t xml:space="preserve"/>
        </x:is>
      </x:c>
      <x:c s="14" r="M179" t="inlineStr">
        <x:is>
          <x:t xml:space="preserve">BF16/FP16</x:t>
        </x:is>
      </x:c>
      <x:c s="15" r="N179" t="n">
        <x:v>84.5</x:v>
      </x:c>
      <x:c s="14" r="O179" t="inlineStr">
        <x:is>
          <x:t xml:space="preserve">BF16/FP16</x:t>
        </x:is>
      </x:c>
      <x:c s="15" r="P179" t="n">
        <x:v>84.5</x:v>
      </x:c>
      <x:c s="14" r="Q179" t="inlineStr">
        <x:is>
          <x:t xml:space="preserve">Near limit</x:t>
        </x:is>
      </x:c>
      <x:c s="18" r="R179" t="inlineStr">
        <x:is>
          <x:t xml:space="preserve">MoE Qwen3 model; 3.3B active / 30.5B total.</x:t>
        </x:is>
      </x:c>
      <x:c s="14" r="S179" t="inlineStr">
        <x:is>
          <x:t xml:space="preserve">current_repo_page_2026-03-27</x:t>
        </x:is>
      </x:c>
      <x:c s="17" r="T179" t="inlineStr">
        <x:is>
          <x:t xml:space="preserve">https://huggingface.co/Qwen/Qwen3-30B-A3B</x:t>
        </x:is>
      </x:c>
      <x:c s="14" r="U179" t="inlineStr">
        <x:is>
          <x:t xml:space="preserve">Transformers; GGUF; AWQ/GPTQ</x:t>
        </x:is>
      </x:c>
      <x:c s="15" r="V179" t="n">
        <x:v>84.5</x:v>
      </x:c>
      <x:c s="15" r="W179" t="n">
        <x:v>44.3</x:v>
      </x:c>
      <x:c s="15" r="X179" t="n">
        <x:v>34.2</x:v>
      </x:c>
      <x:c s="15" r="Y179" t="n">
        <x:v>29.2</x:v>
      </x:c>
      <x:c s="15" r="Z179" t="n">
        <x:v>24.1</x:v>
      </x:c>
      <x:c s="15" r="AA179" t="n">
        <x:v>19.1</x:v>
      </x:c>
      <x:c s="15" r="AB179" t="n">
        <x:v>14.1</x:v>
      </x:c>
    </x:row>
    <x:row r="180">
      <x:c r="A180" t="inlineStr">
        <x:is>
          <x:t xml:space="preserve">Qwen</x:t>
        </x:is>
      </x:c>
      <x:c s="14" r="B180" t="inlineStr">
        <x:is>
          <x:t xml:space="preserve">Qwen/Qwen3-30B-A3B-Instruct-2507</x:t>
        </x:is>
      </x:c>
      <x:c s="14" r="C180" t="inlineStr">
        <x:is>
          <x:t xml:space="preserve">Qwen3-30B-A3B-Instruct-2507</x:t>
        </x:is>
      </x:c>
      <x:c s="15" r="D180" t="n">
        <x:v>30.5</x:v>
      </x:c>
      <x:c s="15" r="E180" t="n">
        <x:v>3.3</x:v>
      </x:c>
      <x:c s="14" r="F180" t="inlineStr">
        <x:is>
          <x:t xml:space="preserve">general chat</x:t>
        </x:is>
      </x:c>
      <x:c s="14" r="G180" t="inlineStr">
        <x:is>
          <x:t xml:space="preserve">text</x:t>
        </x:is>
      </x:c>
      <x:c r="H180" t="inlineStr">
        <x:is>
          <x:t xml:space="preserve">instruct</x:t>
        </x:is>
      </x:c>
      <x:c r="I180" t="inlineStr">
        <x:is>
          <x:t xml:space="preserve">MoE</x:t>
        </x:is>
      </x:c>
      <x:c s="16" r="J180" t="inlineStr">
        <x:is>
          <x:t xml:space="preserve">open</x:t>
        </x:is>
      </x:c>
      <x:c s="17" r="K180" t="inlineStr">
        <x:is>
          <x:t xml:space="preserve">https://huggingface.co/Qwen/Qwen3-30B-A3B-Instruct-2507</x:t>
        </x:is>
      </x:c>
      <x:c s="17" r="L180" t="inlineStr">
        <x:is>
          <x:t xml:space="preserve">https://huggingface.co/Qwen/Qwen3-30B-A3B-GGUF</x:t>
        </x:is>
      </x:c>
      <x:c s="14" r="M180" t="inlineStr">
        <x:is>
          <x:t xml:space="preserve">BF16/FP16</x:t>
        </x:is>
      </x:c>
      <x:c s="15" r="N180" t="n">
        <x:v>84.5</x:v>
      </x:c>
      <x:c s="14" r="O180" t="inlineStr">
        <x:is>
          <x:t xml:space="preserve">BF16/FP16</x:t>
        </x:is>
      </x:c>
      <x:c s="15" r="P180" t="n">
        <x:v>84.5</x:v>
      </x:c>
      <x:c s="14" r="Q180" t="inlineStr">
        <x:is>
          <x:t xml:space="preserve">Near limit</x:t>
        </x:is>
      </x:c>
      <x:c s="18" r="R180" t="inlineStr">
        <x:is>
          <x:t xml:space="preserve">MoE Qwen3 model; 3.3B active / 30.5B total.</x:t>
        </x:is>
      </x:c>
      <x:c s="14" r="S180" t="inlineStr">
        <x:is>
          <x:t xml:space="preserve">current_repo_page_2026-03-27</x:t>
        </x:is>
      </x:c>
      <x:c s="17" r="T180" t="inlineStr">
        <x:is>
          <x:t xml:space="preserve">https://huggingface.co/Qwen/Qwen3-30B-A3B</x:t>
        </x:is>
      </x:c>
      <x:c s="14" r="U180" t="inlineStr">
        <x:is>
          <x:t xml:space="preserve">Transformers; GGUF; AWQ/GPTQ</x:t>
        </x:is>
      </x:c>
      <x:c s="15" r="V180" t="n">
        <x:v>84.5</x:v>
      </x:c>
      <x:c s="15" r="W180" t="n">
        <x:v>44.3</x:v>
      </x:c>
      <x:c s="15" r="X180" t="n">
        <x:v>34.2</x:v>
      </x:c>
      <x:c s="15" r="Y180" t="n">
        <x:v>29.2</x:v>
      </x:c>
      <x:c s="15" r="Z180" t="n">
        <x:v>24.1</x:v>
      </x:c>
      <x:c s="15" r="AA180" t="n">
        <x:v>19.1</x:v>
      </x:c>
      <x:c s="15" r="AB180" t="n">
        <x:v>14.1</x:v>
      </x:c>
    </x:row>
    <x:row r="181">
      <x:c r="A181" t="inlineStr">
        <x:is>
          <x:t xml:space="preserve">Qwen</x:t>
        </x:is>
      </x:c>
      <x:c s="14" r="B181" t="inlineStr">
        <x:is>
          <x:t xml:space="preserve">Qwen/Qwen3-30B-A3B-Thinking-2507</x:t>
        </x:is>
      </x:c>
      <x:c s="14" r="C181" t="inlineStr">
        <x:is>
          <x:t xml:space="preserve">Qwen3-30B-A3B-Thinking-2507</x:t>
        </x:is>
      </x:c>
      <x:c s="15" r="D181" t="n">
        <x:v>30.5</x:v>
      </x:c>
      <x:c s="15" r="E181" t="n">
        <x:v>3.3</x:v>
      </x:c>
      <x:c s="14" r="F181" t="inlineStr">
        <x:is>
          <x:t xml:space="preserve">reasoning</x:t>
        </x:is>
      </x:c>
      <x:c s="14" r="G181" t="inlineStr">
        <x:is>
          <x:t xml:space="preserve">text</x:t>
        </x:is>
      </x:c>
      <x:c r="H181" t="inlineStr">
        <x:is>
          <x:t xml:space="preserve">reasoning</x:t>
        </x:is>
      </x:c>
      <x:c r="I181" t="inlineStr">
        <x:is>
          <x:t xml:space="preserve">MoE</x:t>
        </x:is>
      </x:c>
      <x:c s="16" r="J181" t="inlineStr">
        <x:is>
          <x:t xml:space="preserve">open</x:t>
        </x:is>
      </x:c>
      <x:c s="17" r="K181" t="inlineStr">
        <x:is>
          <x:t xml:space="preserve">https://huggingface.co/Qwen/Qwen3-30B-A3B-Thinking-2507</x:t>
        </x:is>
      </x:c>
      <x:c s="17" r="L181" t="inlineStr">
        <x:is>
          <x:t xml:space="preserve">https://huggingface.co/Qwen/Qwen3-30B-A3B-GGUF</x:t>
        </x:is>
      </x:c>
      <x:c s="14" r="M181" t="inlineStr">
        <x:is>
          <x:t xml:space="preserve">BF16/FP16</x:t>
        </x:is>
      </x:c>
      <x:c s="15" r="N181" t="n">
        <x:v>84.5</x:v>
      </x:c>
      <x:c s="14" r="O181" t="inlineStr">
        <x:is>
          <x:t xml:space="preserve">BF16/FP16</x:t>
        </x:is>
      </x:c>
      <x:c s="15" r="P181" t="n">
        <x:v>84.5</x:v>
      </x:c>
      <x:c s="14" r="Q181" t="inlineStr">
        <x:is>
          <x:t xml:space="preserve">Near limit</x:t>
        </x:is>
      </x:c>
      <x:c s="18" r="R181" t="inlineStr">
        <x:is>
          <x:t xml:space="preserve">MoE Qwen3 model; 3.3B active / 30.5B total.</x:t>
        </x:is>
      </x:c>
      <x:c s="14" r="S181" t="inlineStr">
        <x:is>
          <x:t xml:space="preserve">current_repo_page_2026-03-27</x:t>
        </x:is>
      </x:c>
      <x:c s="17" r="T181" t="inlineStr">
        <x:is>
          <x:t xml:space="preserve">https://huggingface.co/Qwen/Qwen3-30B-A3B</x:t>
        </x:is>
      </x:c>
      <x:c s="14" r="U181" t="inlineStr">
        <x:is>
          <x:t xml:space="preserve">Transformers; GGUF; AWQ/GPTQ</x:t>
        </x:is>
      </x:c>
      <x:c s="15" r="V181" t="n">
        <x:v>84.5</x:v>
      </x:c>
      <x:c s="15" r="W181" t="n">
        <x:v>44.3</x:v>
      </x:c>
      <x:c s="15" r="X181" t="n">
        <x:v>34.2</x:v>
      </x:c>
      <x:c s="15" r="Y181" t="n">
        <x:v>29.2</x:v>
      </x:c>
      <x:c s="15" r="Z181" t="n">
        <x:v>24.1</x:v>
      </x:c>
      <x:c s="15" r="AA181" t="n">
        <x:v>19.1</x:v>
      </x:c>
      <x:c s="15" r="AB181" t="n">
        <x:v>14.1</x:v>
      </x:c>
    </x:row>
    <x:row r="182">
      <x:c r="A182" t="inlineStr">
        <x:is>
          <x:t xml:space="preserve">Qwen</x:t>
        </x:is>
      </x:c>
      <x:c s="14" r="B182" t="inlineStr">
        <x:is>
          <x:t xml:space="preserve">Qwen/Qwen2.5-14B</x:t>
        </x:is>
      </x:c>
      <x:c s="14" r="C182" t="inlineStr">
        <x:is>
          <x:t xml:space="preserve">Qwen2.5-14B</x:t>
        </x:is>
      </x:c>
      <x:c s="15" r="D182" t="n">
        <x:v>14</x:v>
      </x:c>
      <x:c s="15" r="E182"/>
      <x:c s="14" r="F182" t="inlineStr">
        <x:is>
          <x:t xml:space="preserve">general</x:t>
        </x:is>
      </x:c>
      <x:c s="14" r="G182" t="inlineStr">
        <x:is>
          <x:t xml:space="preserve">text</x:t>
        </x:is>
      </x:c>
      <x:c r="H182" t="inlineStr">
        <x:is>
          <x:t xml:space="preserve">base</x:t>
        </x:is>
      </x:c>
      <x:c r="I182" t="inlineStr">
        <x:is>
          <x:t xml:space="preserve">Dense</x:t>
        </x:is>
      </x:c>
      <x:c s="16" r="J182" t="inlineStr">
        <x:is>
          <x:t xml:space="preserve">open</x:t>
        </x:is>
      </x:c>
      <x:c s="17" r="K182" t="inlineStr">
        <x:is>
          <x:t xml:space="preserve">https://huggingface.co/Qwen/Qwen2.5-14B</x:t>
        </x:is>
      </x:c>
      <x:c s="17" r="L182" t="inlineStr">
        <x:is>
          <x:t xml:space="preserve"/>
        </x:is>
      </x:c>
      <x:c s="14" r="M182" t="inlineStr">
        <x:is>
          <x:t xml:space="preserve">BF16/FP16</x:t>
        </x:is>
      </x:c>
      <x:c s="15" r="N182" t="n">
        <x:v>39.4</x:v>
      </x:c>
      <x:c s="14" r="O182" t="inlineStr">
        <x:is>
          <x:t xml:space="preserve">BF16/FP16</x:t>
        </x:is>
      </x:c>
      <x:c s="15" r="P182" t="n">
        <x:v>39.4</x:v>
      </x:c>
      <x:c s="14" r="Q182" t="inlineStr">
        <x:is>
          <x:t xml:space="preserve">Comfortable</x:t>
        </x:is>
      </x:c>
      <x:c s="18" r="R182" t="inlineStr">
        <x:is>
          <x:t xml:space="preserve">Mainstream Qwen 2.5 family.</x:t>
        </x:is>
      </x:c>
      <x:c s="14" r="S182" t="inlineStr">
        <x:is>
          <x:t xml:space="preserve">current_family_page_2026-03-27</x:t>
        </x:is>
      </x:c>
      <x:c s="17" r="T182" t="inlineStr">
        <x:is>
          <x:t xml:space="preserve">https://huggingface.co/collections/Qwen/qwen25-66e81a666513e518adb90d9e</x:t>
        </x:is>
      </x:c>
      <x:c s="14" r="U182" t="inlineStr">
        <x:is>
          <x:t xml:space="preserve">Transformers; GGUF; AWQ/GPTQ</x:t>
        </x:is>
      </x:c>
      <x:c s="15" r="V182" t="n">
        <x:v>39.4</x:v>
      </x:c>
      <x:c s="15" r="W182" t="n">
        <x:v>21.7</x:v>
      </x:c>
      <x:c s="15" r="X182" t="n">
        <x:v>17.3</x:v>
      </x:c>
      <x:c s="15" r="Y182" t="n">
        <x:v>15.1</x:v>
      </x:c>
      <x:c s="15" r="Z182" t="n">
        <x:v>12.9</x:v>
      </x:c>
      <x:c s="15" r="AA182" t="n">
        <x:v>10.6</x:v>
      </x:c>
      <x:c s="15" r="AB182" t="n">
        <x:v>8.4</x:v>
      </x:c>
    </x:row>
    <x:row r="183">
      <x:c r="A183" t="inlineStr">
        <x:is>
          <x:t xml:space="preserve">Qwen</x:t>
        </x:is>
      </x:c>
      <x:c s="14" r="B183" t="inlineStr">
        <x:is>
          <x:t xml:space="preserve">Qwen/Qwen2.5-14B-Instruct</x:t>
        </x:is>
      </x:c>
      <x:c s="14" r="C183" t="inlineStr">
        <x:is>
          <x:t xml:space="preserve">Qwen2.5-14B-Instruct</x:t>
        </x:is>
      </x:c>
      <x:c s="15" r="D183" t="n">
        <x:v>14</x:v>
      </x:c>
      <x:c s="15" r="E183"/>
      <x:c s="14" r="F183" t="inlineStr">
        <x:is>
          <x:t xml:space="preserve">general chat</x:t>
        </x:is>
      </x:c>
      <x:c s="14" r="G183" t="inlineStr">
        <x:is>
          <x:t xml:space="preserve">text</x:t>
        </x:is>
      </x:c>
      <x:c r="H183" t="inlineStr">
        <x:is>
          <x:t xml:space="preserve">instruct</x:t>
        </x:is>
      </x:c>
      <x:c r="I183" t="inlineStr">
        <x:is>
          <x:t xml:space="preserve">Dense</x:t>
        </x:is>
      </x:c>
      <x:c s="16" r="J183" t="inlineStr">
        <x:is>
          <x:t xml:space="preserve">open</x:t>
        </x:is>
      </x:c>
      <x:c s="17" r="K183" t="inlineStr">
        <x:is>
          <x:t xml:space="preserve">https://huggingface.co/Qwen/Qwen2.5-14B-Instruct</x:t>
        </x:is>
      </x:c>
      <x:c s="17" r="L183" t="inlineStr">
        <x:is>
          <x:t xml:space="preserve">https://huggingface.co/Qwen/Qwen2.5-14B-Instruct-GGUF</x:t>
        </x:is>
      </x:c>
      <x:c s="14" r="M183" t="inlineStr">
        <x:is>
          <x:t xml:space="preserve">BF16/FP16</x:t>
        </x:is>
      </x:c>
      <x:c s="15" r="N183" t="n">
        <x:v>39.4</x:v>
      </x:c>
      <x:c s="14" r="O183" t="inlineStr">
        <x:is>
          <x:t xml:space="preserve">BF16/FP16</x:t>
        </x:is>
      </x:c>
      <x:c s="15" r="P183" t="n">
        <x:v>39.4</x:v>
      </x:c>
      <x:c s="14" r="Q183" t="inlineStr">
        <x:is>
          <x:t xml:space="preserve">Comfortable</x:t>
        </x:is>
      </x:c>
      <x:c s="18" r="R183" t="inlineStr">
        <x:is>
          <x:t xml:space="preserve">Mainstream Qwen 2.5 family.</x:t>
        </x:is>
      </x:c>
      <x:c s="14" r="S183" t="inlineStr">
        <x:is>
          <x:t xml:space="preserve">current_family_page_2026-03-27</x:t>
        </x:is>
      </x:c>
      <x:c s="17" r="T183" t="inlineStr">
        <x:is>
          <x:t xml:space="preserve">https://huggingface.co/collections/Qwen/qwen25-66e81a666513e518adb90d9e</x:t>
        </x:is>
      </x:c>
      <x:c s="14" r="U183" t="inlineStr">
        <x:is>
          <x:t xml:space="preserve">Transformers; GGUF; AWQ/GPTQ</x:t>
        </x:is>
      </x:c>
      <x:c s="15" r="V183" t="n">
        <x:v>39.4</x:v>
      </x:c>
      <x:c s="15" r="W183" t="n">
        <x:v>21.7</x:v>
      </x:c>
      <x:c s="15" r="X183" t="n">
        <x:v>17.3</x:v>
      </x:c>
      <x:c s="15" r="Y183" t="n">
        <x:v>15.1</x:v>
      </x:c>
      <x:c s="15" r="Z183" t="n">
        <x:v>12.9</x:v>
      </x:c>
      <x:c s="15" r="AA183" t="n">
        <x:v>10.6</x:v>
      </x:c>
      <x:c s="15" r="AB183" t="n">
        <x:v>8.4</x:v>
      </x:c>
    </x:row>
    <x:row r="184">
      <x:c r="A184" t="inlineStr">
        <x:is>
          <x:t xml:space="preserve">Qwen</x:t>
        </x:is>
      </x:c>
      <x:c s="14" r="B184" t="inlineStr">
        <x:is>
          <x:t xml:space="preserve">Qwen/Qwen2.5-Coder-14B</x:t>
        </x:is>
      </x:c>
      <x:c s="14" r="C184" t="inlineStr">
        <x:is>
          <x:t xml:space="preserve">Qwen2.5-Coder-14B</x:t>
        </x:is>
      </x:c>
      <x:c s="15" r="D184" t="n">
        <x:v>14</x:v>
      </x:c>
      <x:c s="15" r="E184"/>
      <x:c s="14" r="F184" t="inlineStr">
        <x:is>
          <x:t xml:space="preserve">coding</x:t>
        </x:is>
      </x:c>
      <x:c s="14" r="G184" t="inlineStr">
        <x:is>
          <x:t xml:space="preserve">text</x:t>
        </x:is>
      </x:c>
      <x:c r="H184" t="inlineStr">
        <x:is>
          <x:t xml:space="preserve">base</x:t>
        </x:is>
      </x:c>
      <x:c r="I184" t="inlineStr">
        <x:is>
          <x:t xml:space="preserve">Dense</x:t>
        </x:is>
      </x:c>
      <x:c s="16" r="J184" t="inlineStr">
        <x:is>
          <x:t xml:space="preserve">open</x:t>
        </x:is>
      </x:c>
      <x:c s="17" r="K184" t="inlineStr">
        <x:is>
          <x:t xml:space="preserve">https://huggingface.co/Qwen/Qwen2.5-Coder-14B</x:t>
        </x:is>
      </x:c>
      <x:c s="17" r="L184" t="inlineStr">
        <x:is>
          <x:t xml:space="preserve"/>
        </x:is>
      </x:c>
      <x:c s="14" r="M184" t="inlineStr">
        <x:is>
          <x:t xml:space="preserve">BF16/FP16</x:t>
        </x:is>
      </x:c>
      <x:c s="15" r="N184" t="n">
        <x:v>39.4</x:v>
      </x:c>
      <x:c s="14" r="O184" t="inlineStr">
        <x:is>
          <x:t xml:space="preserve">BF16/FP16</x:t>
        </x:is>
      </x:c>
      <x:c s="15" r="P184" t="n">
        <x:v>39.4</x:v>
      </x:c>
      <x:c s="14" r="Q184" t="inlineStr">
        <x:is>
          <x:t xml:space="preserve">Comfortable</x:t>
        </x:is>
      </x:c>
      <x:c s="18" r="R184" t="inlineStr">
        <x:is>
          <x:t xml:space="preserve">Code-specialized Qwen 2.5 family.</x:t>
        </x:is>
      </x:c>
      <x:c s="14" r="S184" t="inlineStr">
        <x:is>
          <x:t xml:space="preserve">current_family_page_2026-03-27</x:t>
        </x:is>
      </x:c>
      <x:c s="17" r="T184" t="inlineStr">
        <x:is>
          <x:t xml:space="preserve">https://huggingface.co/collections/Qwen/qwen25-coder-66f2e9e3bdbf8f6bcb2e315b</x:t>
        </x:is>
      </x:c>
      <x:c s="14" r="U184" t="inlineStr">
        <x:is>
          <x:t xml:space="preserve">Transformers; GGUF; AWQ/GPTQ</x:t>
        </x:is>
      </x:c>
      <x:c s="15" r="V184" t="n">
        <x:v>39.4</x:v>
      </x:c>
      <x:c s="15" r="W184" t="n">
        <x:v>21.7</x:v>
      </x:c>
      <x:c s="15" r="X184" t="n">
        <x:v>17.3</x:v>
      </x:c>
      <x:c s="15" r="Y184" t="n">
        <x:v>15.1</x:v>
      </x:c>
      <x:c s="15" r="Z184" t="n">
        <x:v>12.9</x:v>
      </x:c>
      <x:c s="15" r="AA184" t="n">
        <x:v>10.6</x:v>
      </x:c>
      <x:c s="15" r="AB184" t="n">
        <x:v>8.4</x:v>
      </x:c>
    </x:row>
    <x:row r="185">
      <x:c r="A185" t="inlineStr">
        <x:is>
          <x:t xml:space="preserve">Qwen</x:t>
        </x:is>
      </x:c>
      <x:c s="14" r="B185" t="inlineStr">
        <x:is>
          <x:t xml:space="preserve">Qwen/Qwen2.5-Coder-14B-Instruct</x:t>
        </x:is>
      </x:c>
      <x:c s="14" r="C185" t="inlineStr">
        <x:is>
          <x:t xml:space="preserve">Qwen2.5-Coder-14B-Instruct</x:t>
        </x:is>
      </x:c>
      <x:c s="15" r="D185" t="n">
        <x:v>14</x:v>
      </x:c>
      <x:c s="15" r="E185"/>
      <x:c s="14" r="F185" t="inlineStr">
        <x:is>
          <x:t xml:space="preserve">coding chat</x:t>
        </x:is>
      </x:c>
      <x:c s="14" r="G185" t="inlineStr">
        <x:is>
          <x:t xml:space="preserve">text</x:t>
        </x:is>
      </x:c>
      <x:c r="H185" t="inlineStr">
        <x:is>
          <x:t xml:space="preserve">instruct</x:t>
        </x:is>
      </x:c>
      <x:c r="I185" t="inlineStr">
        <x:is>
          <x:t xml:space="preserve">Dense</x:t>
        </x:is>
      </x:c>
      <x:c s="16" r="J185" t="inlineStr">
        <x:is>
          <x:t xml:space="preserve">open</x:t>
        </x:is>
      </x:c>
      <x:c s="17" r="K185" t="inlineStr">
        <x:is>
          <x:t xml:space="preserve">https://huggingface.co/Qwen/Qwen2.5-Coder-14B-Instruct</x:t>
        </x:is>
      </x:c>
      <x:c s="17" r="L185" t="inlineStr">
        <x:is>
          <x:t xml:space="preserve">https://huggingface.co/Qwen/Qwen2.5-Coder-14B-Instruct-GGUF</x:t>
        </x:is>
      </x:c>
      <x:c s="14" r="M185" t="inlineStr">
        <x:is>
          <x:t xml:space="preserve">BF16/FP16</x:t>
        </x:is>
      </x:c>
      <x:c s="15" r="N185" t="n">
        <x:v>39.4</x:v>
      </x:c>
      <x:c s="14" r="O185" t="inlineStr">
        <x:is>
          <x:t xml:space="preserve">BF16/FP16</x:t>
        </x:is>
      </x:c>
      <x:c s="15" r="P185" t="n">
        <x:v>39.4</x:v>
      </x:c>
      <x:c s="14" r="Q185" t="inlineStr">
        <x:is>
          <x:t xml:space="preserve">Comfortable</x:t>
        </x:is>
      </x:c>
      <x:c s="18" r="R185" t="inlineStr">
        <x:is>
          <x:t xml:space="preserve">Code-specialized Qwen 2.5 family.</x:t>
        </x:is>
      </x:c>
      <x:c s="14" r="S185" t="inlineStr">
        <x:is>
          <x:t xml:space="preserve">current_family_page_2026-03-27</x:t>
        </x:is>
      </x:c>
      <x:c s="17" r="T185" t="inlineStr">
        <x:is>
          <x:t xml:space="preserve">https://huggingface.co/collections/Qwen/qwen25-coder-66f2e9e3bdbf8f6bcb2e315b</x:t>
        </x:is>
      </x:c>
      <x:c s="14" r="U185" t="inlineStr">
        <x:is>
          <x:t xml:space="preserve">Transformers; GGUF; AWQ/GPTQ</x:t>
        </x:is>
      </x:c>
      <x:c s="15" r="V185" t="n">
        <x:v>39.4</x:v>
      </x:c>
      <x:c s="15" r="W185" t="n">
        <x:v>21.7</x:v>
      </x:c>
      <x:c s="15" r="X185" t="n">
        <x:v>17.3</x:v>
      </x:c>
      <x:c s="15" r="Y185" t="n">
        <x:v>15.1</x:v>
      </x:c>
      <x:c s="15" r="Z185" t="n">
        <x:v>12.9</x:v>
      </x:c>
      <x:c s="15" r="AA185" t="n">
        <x:v>10.6</x:v>
      </x:c>
      <x:c s="15" r="AB185" t="n">
        <x:v>8.4</x:v>
      </x:c>
    </x:row>
    <x:row r="186">
      <x:c r="A186" t="inlineStr">
        <x:is>
          <x:t xml:space="preserve">Qwen</x:t>
        </x:is>
      </x:c>
      <x:c s="14" r="B186" t="inlineStr">
        <x:is>
          <x:t xml:space="preserve">Qwen/Qwen3-14B</x:t>
        </x:is>
      </x:c>
      <x:c s="14" r="C186" t="inlineStr">
        <x:is>
          <x:t xml:space="preserve">Qwen3-14B</x:t>
        </x:is>
      </x:c>
      <x:c s="15" r="D186" t="n">
        <x:v>14</x:v>
      </x:c>
      <x:c s="15" r="E186"/>
      <x:c s="14" r="F186" t="inlineStr">
        <x:is>
          <x:t xml:space="preserve">general / reasoning dual-mode</x:t>
        </x:is>
      </x:c>
      <x:c s="14" r="G186" t="inlineStr">
        <x:is>
          <x:t xml:space="preserve">text</x:t>
        </x:is>
      </x:c>
      <x:c r="H186" t="inlineStr">
        <x:is>
          <x:t xml:space="preserve">dual-mode</x:t>
        </x:is>
      </x:c>
      <x:c r="I186" t="inlineStr">
        <x:is>
          <x:t xml:space="preserve">Dense</x:t>
        </x:is>
      </x:c>
      <x:c s="16" r="J186" t="inlineStr">
        <x:is>
          <x:t xml:space="preserve">open</x:t>
        </x:is>
      </x:c>
      <x:c s="17" r="K186" t="inlineStr">
        <x:is>
          <x:t xml:space="preserve">https://huggingface.co/Qwen/Qwen3-14B</x:t>
        </x:is>
      </x:c>
      <x:c s="17" r="L186" t="inlineStr">
        <x:is>
          <x:t xml:space="preserve"/>
        </x:is>
      </x:c>
      <x:c s="14" r="M186" t="inlineStr">
        <x:is>
          <x:t xml:space="preserve">BF16/FP16</x:t>
        </x:is>
      </x:c>
      <x:c s="15" r="N186" t="n">
        <x:v>39.4</x:v>
      </x:c>
      <x:c s="14" r="O186" t="inlineStr">
        <x:is>
          <x:t xml:space="preserve">BF16/FP16</x:t>
        </x:is>
      </x:c>
      <x:c s="15" r="P186" t="n">
        <x:v>39.4</x:v>
      </x:c>
      <x:c s="14" r="Q186" t="inlineStr">
        <x:is>
          <x:t xml:space="preserve">Comfortable</x:t>
        </x:is>
      </x:c>
      <x:c s="18" r="R186" t="inlineStr">
        <x:is>
          <x:t xml:space="preserve">Qwen3 dense family supports thinking and non-thinking modes.</x:t>
        </x:is>
      </x:c>
      <x:c s="14" r="S186" t="inlineStr">
        <x:is>
          <x:t xml:space="preserve">current_repo_page_2026-03-27</x:t>
        </x:is>
      </x:c>
      <x:c s="17" r="T186" t="inlineStr">
        <x:is>
          <x:t xml:space="preserve">https://huggingface.co/Qwen/Qwen3-32B</x:t>
        </x:is>
      </x:c>
      <x:c s="14" r="U186" t="inlineStr">
        <x:is>
          <x:t xml:space="preserve">Transformers; GGUF; AWQ/GPTQ</x:t>
        </x:is>
      </x:c>
      <x:c s="15" r="V186" t="n">
        <x:v>39.4</x:v>
      </x:c>
      <x:c s="15" r="W186" t="n">
        <x:v>21.7</x:v>
      </x:c>
      <x:c s="15" r="X186" t="n">
        <x:v>17.3</x:v>
      </x:c>
      <x:c s="15" r="Y186" t="n">
        <x:v>15.1</x:v>
      </x:c>
      <x:c s="15" r="Z186" t="n">
        <x:v>12.9</x:v>
      </x:c>
      <x:c s="15" r="AA186" t="n">
        <x:v>10.6</x:v>
      </x:c>
      <x:c s="15" r="AB186" t="n">
        <x:v>8.4</x:v>
      </x:c>
    </x:row>
    <x:row r="187">
      <x:c r="A187" t="inlineStr">
        <x:is>
          <x:t xml:space="preserve">Qwen</x:t>
        </x:is>
      </x:c>
      <x:c s="14" r="B187" t="inlineStr">
        <x:is>
          <x:t xml:space="preserve">Qwen/Qwen3.5-9B</x:t>
        </x:is>
      </x:c>
      <x:c s="14" r="C187" t="inlineStr">
        <x:is>
          <x:t xml:space="preserve">Qwen3.5-9B</x:t>
        </x:is>
      </x:c>
      <x:c s="15" r="D187" t="n">
        <x:v>9</x:v>
      </x:c>
      <x:c s="15" r="E187"/>
      <x:c s="14" r="F187" t="inlineStr">
        <x:is>
          <x:t xml:space="preserve">multimodal</x:t>
        </x:is>
      </x:c>
      <x:c s="14" r="G187" t="inlineStr">
        <x:is>
          <x:t xml:space="preserve">text+vision</x:t>
        </x:is>
      </x:c>
      <x:c r="H187" t="inlineStr">
        <x:is>
          <x:t xml:space="preserve">multimodal</x:t>
        </x:is>
      </x:c>
      <x:c r="I187" t="inlineStr">
        <x:is>
          <x:t xml:space="preserve">Dense</x:t>
        </x:is>
      </x:c>
      <x:c s="16" r="J187" t="inlineStr">
        <x:is>
          <x:t xml:space="preserve">open</x:t>
        </x:is>
      </x:c>
      <x:c s="17" r="K187" t="inlineStr">
        <x:is>
          <x:t xml:space="preserve">https://huggingface.co/Qwen/Qwen3.5-9B</x:t>
        </x:is>
      </x:c>
      <x:c s="17" r="L187" t="inlineStr">
        <x:is>
          <x:t xml:space="preserve"/>
        </x:is>
      </x:c>
      <x:c s="14" r="M187" t="inlineStr">
        <x:is>
          <x:t xml:space="preserve">BF16/FP16</x:t>
        </x:is>
      </x:c>
      <x:c s="15" r="N187" t="n">
        <x:v>26.8</x:v>
      </x:c>
      <x:c s="14" r="O187" t="inlineStr">
        <x:is>
          <x:t xml:space="preserve">BF16/FP16</x:t>
        </x:is>
      </x:c>
      <x:c s="15" r="P187" t="n">
        <x:v>26.8</x:v>
      </x:c>
      <x:c s="14" r="Q187" t="inlineStr">
        <x:is>
          <x:t xml:space="preserve">Comfortable</x:t>
        </x:is>
      </x:c>
      <x:c s="18" r="R187" t="inlineStr">
        <x:is>
          <x:t xml:space="preserve">Qwen3.5 multimodal family.</x:t>
        </x:is>
      </x:c>
      <x:c s="14" r="S187" t="inlineStr">
        <x:is>
          <x:t xml:space="preserve">current_org_page_2026-03-27</x:t>
        </x:is>
      </x:c>
      <x:c s="17" r="T187" t="inlineStr">
        <x:is>
          <x:t xml:space="preserve">https://huggingface.co/Qwen</x:t>
        </x:is>
      </x:c>
      <x:c s="14" r="U187" t="inlineStr">
        <x:is>
          <x:t xml:space="preserve">Transformers; GGUF; AWQ/GPTQ</x:t>
        </x:is>
      </x:c>
      <x:c s="15" r="V187" t="n">
        <x:v>26.8</x:v>
      </x:c>
      <x:c s="15" r="W187" t="n">
        <x:v>15.4</x:v>
      </x:c>
      <x:c s="15" r="X187" t="n">
        <x:v>12.5</x:v>
      </x:c>
      <x:c s="15" r="Y187" t="n">
        <x:v>11.1</x:v>
      </x:c>
      <x:c s="15" r="Z187" t="n">
        <x:v>9.7</x:v>
      </x:c>
      <x:c s="15" r="AA187" t="n">
        <x:v>8.3</x:v>
      </x:c>
      <x:c s="15" r="AB187" t="n">
        <x:v>6.8</x:v>
      </x:c>
    </x:row>
    <x:row r="188">
      <x:c r="A188" t="inlineStr">
        <x:is>
          <x:t xml:space="preserve">Qwen</x:t>
        </x:is>
      </x:c>
      <x:c s="14" r="B188" t="inlineStr">
        <x:is>
          <x:t xml:space="preserve">Qwen/Qwen3-8B</x:t>
        </x:is>
      </x:c>
      <x:c s="14" r="C188" t="inlineStr">
        <x:is>
          <x:t xml:space="preserve">Qwen3-8B</x:t>
        </x:is>
      </x:c>
      <x:c s="15" r="D188" t="n">
        <x:v>8</x:v>
      </x:c>
      <x:c s="15" r="E188"/>
      <x:c s="14" r="F188" t="inlineStr">
        <x:is>
          <x:t xml:space="preserve">general / reasoning dual-mode</x:t>
        </x:is>
      </x:c>
      <x:c s="14" r="G188" t="inlineStr">
        <x:is>
          <x:t xml:space="preserve">text</x:t>
        </x:is>
      </x:c>
      <x:c r="H188" t="inlineStr">
        <x:is>
          <x:t xml:space="preserve">dual-mode</x:t>
        </x:is>
      </x:c>
      <x:c r="I188" t="inlineStr">
        <x:is>
          <x:t xml:space="preserve">Dense</x:t>
        </x:is>
      </x:c>
      <x:c s="16" r="J188" t="inlineStr">
        <x:is>
          <x:t xml:space="preserve">open</x:t>
        </x:is>
      </x:c>
      <x:c s="17" r="K188" t="inlineStr">
        <x:is>
          <x:t xml:space="preserve">https://huggingface.co/Qwen/Qwen3-8B</x:t>
        </x:is>
      </x:c>
      <x:c s="17" r="L188" t="inlineStr">
        <x:is>
          <x:t xml:space="preserve"/>
        </x:is>
      </x:c>
      <x:c s="14" r="M188" t="inlineStr">
        <x:is>
          <x:t xml:space="preserve">BF16/FP16</x:t>
        </x:is>
      </x:c>
      <x:c s="15" r="N188" t="n">
        <x:v>24.2</x:v>
      </x:c>
      <x:c s="14" r="O188" t="inlineStr">
        <x:is>
          <x:t xml:space="preserve">BF16/FP16</x:t>
        </x:is>
      </x:c>
      <x:c s="15" r="P188" t="n">
        <x:v>24.2</x:v>
      </x:c>
      <x:c s="14" r="Q188" t="inlineStr">
        <x:is>
          <x:t xml:space="preserve">Comfortable</x:t>
        </x:is>
      </x:c>
      <x:c s="18" r="R188" t="inlineStr">
        <x:is>
          <x:t xml:space="preserve">Qwen3 dense family supports thinking and non-thinking modes.</x:t>
        </x:is>
      </x:c>
      <x:c s="14" r="S188" t="inlineStr">
        <x:is>
          <x:t xml:space="preserve">current_repo_page_2026-03-27</x:t>
        </x:is>
      </x:c>
      <x:c s="17" r="T188" t="inlineStr">
        <x:is>
          <x:t xml:space="preserve">https://huggingface.co/Qwen/Qwen3-32B</x:t>
        </x:is>
      </x:c>
      <x:c s="14" r="U188" t="inlineStr">
        <x:is>
          <x:t xml:space="preserve">Transformers; GGUF; AWQ/GPTQ</x:t>
        </x:is>
      </x:c>
      <x:c s="15" r="V188" t="n">
        <x:v>24.2</x:v>
      </x:c>
      <x:c s="15" r="W188" t="n">
        <x:v>14.1</x:v>
      </x:c>
      <x:c s="15" r="X188" t="n">
        <x:v>11.6</x:v>
      </x:c>
      <x:c s="15" r="Y188" t="n">
        <x:v>10.3</x:v>
      </x:c>
      <x:c s="15" r="Z188" t="n">
        <x:v>9.1</x:v>
      </x:c>
      <x:c s="15" r="AA188" t="n">
        <x:v>7.8</x:v>
      </x:c>
      <x:c s="15" r="AB188" t="n">
        <x:v>6.5</x:v>
      </x:c>
    </x:row>
    <x:row r="189">
      <x:c r="A189" t="inlineStr">
        <x:is>
          <x:t xml:space="preserve">Qwen</x:t>
        </x:is>
      </x:c>
      <x:c s="14" r="B189" t="inlineStr">
        <x:is>
          <x:t xml:space="preserve">Qwen/Qwen2-7B</x:t>
        </x:is>
      </x:c>
      <x:c s="14" r="C189" t="inlineStr">
        <x:is>
          <x:t xml:space="preserve">Qwen2-7B</x:t>
        </x:is>
      </x:c>
      <x:c s="15" r="D189" t="n">
        <x:v>7</x:v>
      </x:c>
      <x:c s="15" r="E189"/>
      <x:c s="14" r="F189" t="inlineStr">
        <x:is>
          <x:t xml:space="preserve">general</x:t>
        </x:is>
      </x:c>
      <x:c s="14" r="G189" t="inlineStr">
        <x:is>
          <x:t xml:space="preserve">text</x:t>
        </x:is>
      </x:c>
      <x:c r="H189" t="inlineStr">
        <x:is>
          <x:t xml:space="preserve">base</x:t>
        </x:is>
      </x:c>
      <x:c r="I189" t="inlineStr">
        <x:is>
          <x:t xml:space="preserve">Dense</x:t>
        </x:is>
      </x:c>
      <x:c s="16" r="J189" t="inlineStr">
        <x:is>
          <x:t xml:space="preserve">open</x:t>
        </x:is>
      </x:c>
      <x:c s="17" r="K189" t="inlineStr">
        <x:is>
          <x:t xml:space="preserve">https://huggingface.co/Qwen/Qwen2-7B</x:t>
        </x:is>
      </x:c>
      <x:c s="17" r="L189" t="inlineStr">
        <x:is>
          <x:t xml:space="preserve"/>
        </x:is>
      </x:c>
      <x:c s="14" r="M189" t="inlineStr">
        <x:is>
          <x:t xml:space="preserve">BF16/FP16</x:t>
        </x:is>
      </x:c>
      <x:c s="15" r="N189" t="n">
        <x:v>21.7</x:v>
      </x:c>
      <x:c s="14" r="O189" t="inlineStr">
        <x:is>
          <x:t xml:space="preserve">BF16/FP16</x:t>
        </x:is>
      </x:c>
      <x:c s="15" r="P189" t="n">
        <x:v>21.7</x:v>
      </x:c>
      <x:c s="14" r="Q189" t="inlineStr">
        <x:is>
          <x:t xml:space="preserve">Comfortable</x:t>
        </x:is>
      </x:c>
      <x:c s="18" r="R189" t="inlineStr">
        <x:is>
          <x:t xml:space="preserve"/>
        </x:is>
      </x:c>
      <x:c s="14" r="S189" t="inlineStr">
        <x:is>
          <x:t xml:space="preserve">current_family_page_2026-03-27</x:t>
        </x:is>
      </x:c>
      <x:c s="17" r="T189" t="inlineStr">
        <x:is>
          <x:t xml:space="preserve">https://huggingface.co/collections/Qwen/qwen2-6659361987f473a0f12f57e7</x:t>
        </x:is>
      </x:c>
      <x:c s="14" r="U189" t="inlineStr">
        <x:is>
          <x:t xml:space="preserve">Transformers; GGUF; AWQ/GPTQ</x:t>
        </x:is>
      </x:c>
      <x:c s="15" r="V189" t="n">
        <x:v>21.7</x:v>
      </x:c>
      <x:c s="15" r="W189" t="n">
        <x:v>12.9</x:v>
      </x:c>
      <x:c s="15" r="X189" t="n">
        <x:v>10.6</x:v>
      </x:c>
      <x:c s="15" r="Y189" t="n">
        <x:v>9.5</x:v>
      </x:c>
      <x:c s="15" r="Z189" t="n">
        <x:v>8.4</x:v>
      </x:c>
      <x:c s="15" r="AA189" t="n">
        <x:v>7.3</x:v>
      </x:c>
      <x:c s="15" r="AB189" t="n">
        <x:v>6.2</x:v>
      </x:c>
    </x:row>
    <x:row r="190">
      <x:c r="A190" t="inlineStr">
        <x:is>
          <x:t xml:space="preserve">Qwen</x:t>
        </x:is>
      </x:c>
      <x:c s="14" r="B190" t="inlineStr">
        <x:is>
          <x:t xml:space="preserve">Qwen/Qwen2-7B-Instruct</x:t>
        </x:is>
      </x:c>
      <x:c s="14" r="C190" t="inlineStr">
        <x:is>
          <x:t xml:space="preserve">Qwen2-7B-Instruct</x:t>
        </x:is>
      </x:c>
      <x:c s="15" r="D190" t="n">
        <x:v>7</x:v>
      </x:c>
      <x:c s="15" r="E190"/>
      <x:c s="14" r="F190" t="inlineStr">
        <x:is>
          <x:t xml:space="preserve">general chat</x:t>
        </x:is>
      </x:c>
      <x:c s="14" r="G190" t="inlineStr">
        <x:is>
          <x:t xml:space="preserve">text</x:t>
        </x:is>
      </x:c>
      <x:c r="H190" t="inlineStr">
        <x:is>
          <x:t xml:space="preserve">instruct</x:t>
        </x:is>
      </x:c>
      <x:c r="I190" t="inlineStr">
        <x:is>
          <x:t xml:space="preserve">Dense</x:t>
        </x:is>
      </x:c>
      <x:c s="16" r="J190" t="inlineStr">
        <x:is>
          <x:t xml:space="preserve">open</x:t>
        </x:is>
      </x:c>
      <x:c s="17" r="K190" t="inlineStr">
        <x:is>
          <x:t xml:space="preserve">https://huggingface.co/Qwen/Qwen2-7B-Instruct</x:t>
        </x:is>
      </x:c>
      <x:c s="17" r="L190" t="inlineStr">
        <x:is>
          <x:t xml:space="preserve"/>
        </x:is>
      </x:c>
      <x:c s="14" r="M190" t="inlineStr">
        <x:is>
          <x:t xml:space="preserve">BF16/FP16</x:t>
        </x:is>
      </x:c>
      <x:c s="15" r="N190" t="n">
        <x:v>21.7</x:v>
      </x:c>
      <x:c s="14" r="O190" t="inlineStr">
        <x:is>
          <x:t xml:space="preserve">BF16/FP16</x:t>
        </x:is>
      </x:c>
      <x:c s="15" r="P190" t="n">
        <x:v>21.7</x:v>
      </x:c>
      <x:c s="14" r="Q190" t="inlineStr">
        <x:is>
          <x:t xml:space="preserve">Comfortable</x:t>
        </x:is>
      </x:c>
      <x:c s="18" r="R190" t="inlineStr">
        <x:is>
          <x:t xml:space="preserve"/>
        </x:is>
      </x:c>
      <x:c s="14" r="S190" t="inlineStr">
        <x:is>
          <x:t xml:space="preserve">current_family_page_2026-03-27</x:t>
        </x:is>
      </x:c>
      <x:c s="17" r="T190" t="inlineStr">
        <x:is>
          <x:t xml:space="preserve">https://huggingface.co/collections/Qwen/qwen2-6659361987f473a0f12f57e7</x:t>
        </x:is>
      </x:c>
      <x:c s="14" r="U190" t="inlineStr">
        <x:is>
          <x:t xml:space="preserve">Transformers; GGUF; AWQ/GPTQ</x:t>
        </x:is>
      </x:c>
      <x:c s="15" r="V190" t="n">
        <x:v>21.7</x:v>
      </x:c>
      <x:c s="15" r="W190" t="n">
        <x:v>12.9</x:v>
      </x:c>
      <x:c s="15" r="X190" t="n">
        <x:v>10.6</x:v>
      </x:c>
      <x:c s="15" r="Y190" t="n">
        <x:v>9.5</x:v>
      </x:c>
      <x:c s="15" r="Z190" t="n">
        <x:v>8.4</x:v>
      </x:c>
      <x:c s="15" r="AA190" t="n">
        <x:v>7.3</x:v>
      </x:c>
      <x:c s="15" r="AB190" t="n">
        <x:v>6.2</x:v>
      </x:c>
    </x:row>
    <x:row r="191">
      <x:c r="A191" t="inlineStr">
        <x:is>
          <x:t xml:space="preserve">Qwen</x:t>
        </x:is>
      </x:c>
      <x:c s="14" r="B191" t="inlineStr">
        <x:is>
          <x:t xml:space="preserve">Qwen/Qwen2.5-7B</x:t>
        </x:is>
      </x:c>
      <x:c s="14" r="C191" t="inlineStr">
        <x:is>
          <x:t xml:space="preserve">Qwen2.5-7B</x:t>
        </x:is>
      </x:c>
      <x:c s="15" r="D191" t="n">
        <x:v>7</x:v>
      </x:c>
      <x:c s="15" r="E191"/>
      <x:c s="14" r="F191" t="inlineStr">
        <x:is>
          <x:t xml:space="preserve">general</x:t>
        </x:is>
      </x:c>
      <x:c s="14" r="G191" t="inlineStr">
        <x:is>
          <x:t xml:space="preserve">text</x:t>
        </x:is>
      </x:c>
      <x:c r="H191" t="inlineStr">
        <x:is>
          <x:t xml:space="preserve">base</x:t>
        </x:is>
      </x:c>
      <x:c r="I191" t="inlineStr">
        <x:is>
          <x:t xml:space="preserve">Dense</x:t>
        </x:is>
      </x:c>
      <x:c s="16" r="J191" t="inlineStr">
        <x:is>
          <x:t xml:space="preserve">open</x:t>
        </x:is>
      </x:c>
      <x:c s="17" r="K191" t="inlineStr">
        <x:is>
          <x:t xml:space="preserve">https://huggingface.co/Qwen/Qwen2.5-7B</x:t>
        </x:is>
      </x:c>
      <x:c s="17" r="L191" t="inlineStr">
        <x:is>
          <x:t xml:space="preserve"/>
        </x:is>
      </x:c>
      <x:c s="14" r="M191" t="inlineStr">
        <x:is>
          <x:t xml:space="preserve">BF16/FP16</x:t>
        </x:is>
      </x:c>
      <x:c s="15" r="N191" t="n">
        <x:v>21.7</x:v>
      </x:c>
      <x:c s="14" r="O191" t="inlineStr">
        <x:is>
          <x:t xml:space="preserve">BF16/FP16</x:t>
        </x:is>
      </x:c>
      <x:c s="15" r="P191" t="n">
        <x:v>21.7</x:v>
      </x:c>
      <x:c s="14" r="Q191" t="inlineStr">
        <x:is>
          <x:t xml:space="preserve">Comfortable</x:t>
        </x:is>
      </x:c>
      <x:c s="18" r="R191" t="inlineStr">
        <x:is>
          <x:t xml:space="preserve">Mainstream Qwen 2.5 family.</x:t>
        </x:is>
      </x:c>
      <x:c s="14" r="S191" t="inlineStr">
        <x:is>
          <x:t xml:space="preserve">current_family_page_2026-03-27</x:t>
        </x:is>
      </x:c>
      <x:c s="17" r="T191" t="inlineStr">
        <x:is>
          <x:t xml:space="preserve">https://huggingface.co/collections/Qwen/qwen25-66e81a666513e518adb90d9e</x:t>
        </x:is>
      </x:c>
      <x:c s="14" r="U191" t="inlineStr">
        <x:is>
          <x:t xml:space="preserve">Transformers; GGUF; AWQ/GPTQ</x:t>
        </x:is>
      </x:c>
      <x:c s="15" r="V191" t="n">
        <x:v>21.7</x:v>
      </x:c>
      <x:c s="15" r="W191" t="n">
        <x:v>12.9</x:v>
      </x:c>
      <x:c s="15" r="X191" t="n">
        <x:v>10.6</x:v>
      </x:c>
      <x:c s="15" r="Y191" t="n">
        <x:v>9.5</x:v>
      </x:c>
      <x:c s="15" r="Z191" t="n">
        <x:v>8.4</x:v>
      </x:c>
      <x:c s="15" r="AA191" t="n">
        <x:v>7.3</x:v>
      </x:c>
      <x:c s="15" r="AB191" t="n">
        <x:v>6.2</x:v>
      </x:c>
    </x:row>
    <x:row r="192">
      <x:c r="A192" t="inlineStr">
        <x:is>
          <x:t xml:space="preserve">Qwen</x:t>
        </x:is>
      </x:c>
      <x:c s="14" r="B192" t="inlineStr">
        <x:is>
          <x:t xml:space="preserve">Qwen/Qwen2.5-7B-Instruct</x:t>
        </x:is>
      </x:c>
      <x:c s="14" r="C192" t="inlineStr">
        <x:is>
          <x:t xml:space="preserve">Qwen2.5-7B-Instruct</x:t>
        </x:is>
      </x:c>
      <x:c s="15" r="D192" t="n">
        <x:v>7</x:v>
      </x:c>
      <x:c s="15" r="E192"/>
      <x:c s="14" r="F192" t="inlineStr">
        <x:is>
          <x:t xml:space="preserve">general chat</x:t>
        </x:is>
      </x:c>
      <x:c s="14" r="G192" t="inlineStr">
        <x:is>
          <x:t xml:space="preserve">text</x:t>
        </x:is>
      </x:c>
      <x:c r="H192" t="inlineStr">
        <x:is>
          <x:t xml:space="preserve">instruct</x:t>
        </x:is>
      </x:c>
      <x:c r="I192" t="inlineStr">
        <x:is>
          <x:t xml:space="preserve">Dense</x:t>
        </x:is>
      </x:c>
      <x:c s="16" r="J192" t="inlineStr">
        <x:is>
          <x:t xml:space="preserve">open</x:t>
        </x:is>
      </x:c>
      <x:c s="17" r="K192" t="inlineStr">
        <x:is>
          <x:t xml:space="preserve">https://huggingface.co/Qwen/Qwen2.5-7B-Instruct</x:t>
        </x:is>
      </x:c>
      <x:c s="17" r="L192" t="inlineStr">
        <x:is>
          <x:t xml:space="preserve">https://huggingface.co/Qwen/Qwen2.5-7B-Instruct-GGUF</x:t>
        </x:is>
      </x:c>
      <x:c s="14" r="M192" t="inlineStr">
        <x:is>
          <x:t xml:space="preserve">BF16/FP16</x:t>
        </x:is>
      </x:c>
      <x:c s="15" r="N192" t="n">
        <x:v>21.7</x:v>
      </x:c>
      <x:c s="14" r="O192" t="inlineStr">
        <x:is>
          <x:t xml:space="preserve">BF16/FP16</x:t>
        </x:is>
      </x:c>
      <x:c s="15" r="P192" t="n">
        <x:v>21.7</x:v>
      </x:c>
      <x:c s="14" r="Q192" t="inlineStr">
        <x:is>
          <x:t xml:space="preserve">Comfortable</x:t>
        </x:is>
      </x:c>
      <x:c s="18" r="R192" t="inlineStr">
        <x:is>
          <x:t xml:space="preserve">Mainstream Qwen 2.5 family.</x:t>
        </x:is>
      </x:c>
      <x:c s="14" r="S192" t="inlineStr">
        <x:is>
          <x:t xml:space="preserve">current_family_page_2026-03-27</x:t>
        </x:is>
      </x:c>
      <x:c s="17" r="T192" t="inlineStr">
        <x:is>
          <x:t xml:space="preserve">https://huggingface.co/collections/Qwen/qwen25-66e81a666513e518adb90d9e</x:t>
        </x:is>
      </x:c>
      <x:c s="14" r="U192" t="inlineStr">
        <x:is>
          <x:t xml:space="preserve">Transformers; GGUF; AWQ/GPTQ</x:t>
        </x:is>
      </x:c>
      <x:c s="15" r="V192" t="n">
        <x:v>21.7</x:v>
      </x:c>
      <x:c s="15" r="W192" t="n">
        <x:v>12.9</x:v>
      </x:c>
      <x:c s="15" r="X192" t="n">
        <x:v>10.6</x:v>
      </x:c>
      <x:c s="15" r="Y192" t="n">
        <x:v>9.5</x:v>
      </x:c>
      <x:c s="15" r="Z192" t="n">
        <x:v>8.4</x:v>
      </x:c>
      <x:c s="15" r="AA192" t="n">
        <x:v>7.3</x:v>
      </x:c>
      <x:c s="15" r="AB192" t="n">
        <x:v>6.2</x:v>
      </x:c>
    </x:row>
    <x:row r="193">
      <x:c r="A193" t="inlineStr">
        <x:is>
          <x:t xml:space="preserve">Qwen</x:t>
        </x:is>
      </x:c>
      <x:c s="14" r="B193" t="inlineStr">
        <x:is>
          <x:t xml:space="preserve">Qwen/Qwen2.5-Coder-7B</x:t>
        </x:is>
      </x:c>
      <x:c s="14" r="C193" t="inlineStr">
        <x:is>
          <x:t xml:space="preserve">Qwen2.5-Coder-7B</x:t>
        </x:is>
      </x:c>
      <x:c s="15" r="D193" t="n">
        <x:v>7</x:v>
      </x:c>
      <x:c s="15" r="E193"/>
      <x:c s="14" r="F193" t="inlineStr">
        <x:is>
          <x:t xml:space="preserve">coding</x:t>
        </x:is>
      </x:c>
      <x:c s="14" r="G193" t="inlineStr">
        <x:is>
          <x:t xml:space="preserve">text</x:t>
        </x:is>
      </x:c>
      <x:c r="H193" t="inlineStr">
        <x:is>
          <x:t xml:space="preserve">base</x:t>
        </x:is>
      </x:c>
      <x:c r="I193" t="inlineStr">
        <x:is>
          <x:t xml:space="preserve">Dense</x:t>
        </x:is>
      </x:c>
      <x:c s="16" r="J193" t="inlineStr">
        <x:is>
          <x:t xml:space="preserve">open</x:t>
        </x:is>
      </x:c>
      <x:c s="17" r="K193" t="inlineStr">
        <x:is>
          <x:t xml:space="preserve">https://huggingface.co/Qwen/Qwen2.5-Coder-7B</x:t>
        </x:is>
      </x:c>
      <x:c s="17" r="L193" t="inlineStr">
        <x:is>
          <x:t xml:space="preserve"/>
        </x:is>
      </x:c>
      <x:c s="14" r="M193" t="inlineStr">
        <x:is>
          <x:t xml:space="preserve">BF16/FP16</x:t>
        </x:is>
      </x:c>
      <x:c s="15" r="N193" t="n">
        <x:v>21.7</x:v>
      </x:c>
      <x:c s="14" r="O193" t="inlineStr">
        <x:is>
          <x:t xml:space="preserve">BF16/FP16</x:t>
        </x:is>
      </x:c>
      <x:c s="15" r="P193" t="n">
        <x:v>21.7</x:v>
      </x:c>
      <x:c s="14" r="Q193" t="inlineStr">
        <x:is>
          <x:t xml:space="preserve">Comfortable</x:t>
        </x:is>
      </x:c>
      <x:c s="18" r="R193" t="inlineStr">
        <x:is>
          <x:t xml:space="preserve">Code-specialized Qwen 2.5 family.</x:t>
        </x:is>
      </x:c>
      <x:c s="14" r="S193" t="inlineStr">
        <x:is>
          <x:t xml:space="preserve">current_family_page_2026-03-27</x:t>
        </x:is>
      </x:c>
      <x:c s="17" r="T193" t="inlineStr">
        <x:is>
          <x:t xml:space="preserve">https://huggingface.co/collections/Qwen/qwen25-coder-66f2e9e3bdbf8f6bcb2e315b</x:t>
        </x:is>
      </x:c>
      <x:c s="14" r="U193" t="inlineStr">
        <x:is>
          <x:t xml:space="preserve">Transformers; GGUF; AWQ/GPTQ</x:t>
        </x:is>
      </x:c>
      <x:c s="15" r="V193" t="n">
        <x:v>21.7</x:v>
      </x:c>
      <x:c s="15" r="W193" t="n">
        <x:v>12.9</x:v>
      </x:c>
      <x:c s="15" r="X193" t="n">
        <x:v>10.6</x:v>
      </x:c>
      <x:c s="15" r="Y193" t="n">
        <x:v>9.5</x:v>
      </x:c>
      <x:c s="15" r="Z193" t="n">
        <x:v>8.4</x:v>
      </x:c>
      <x:c s="15" r="AA193" t="n">
        <x:v>7.3</x:v>
      </x:c>
      <x:c s="15" r="AB193" t="n">
        <x:v>6.2</x:v>
      </x:c>
    </x:row>
    <x:row r="194">
      <x:c r="A194" t="inlineStr">
        <x:is>
          <x:t xml:space="preserve">Qwen</x:t>
        </x:is>
      </x:c>
      <x:c s="14" r="B194" t="inlineStr">
        <x:is>
          <x:t xml:space="preserve">Qwen/Qwen2.5-Coder-7B-Instruct</x:t>
        </x:is>
      </x:c>
      <x:c s="14" r="C194" t="inlineStr">
        <x:is>
          <x:t xml:space="preserve">Qwen2.5-Coder-7B-Instruct</x:t>
        </x:is>
      </x:c>
      <x:c s="15" r="D194" t="n">
        <x:v>7</x:v>
      </x:c>
      <x:c s="15" r="E194"/>
      <x:c s="14" r="F194" t="inlineStr">
        <x:is>
          <x:t xml:space="preserve">coding chat</x:t>
        </x:is>
      </x:c>
      <x:c s="14" r="G194" t="inlineStr">
        <x:is>
          <x:t xml:space="preserve">text</x:t>
        </x:is>
      </x:c>
      <x:c r="H194" t="inlineStr">
        <x:is>
          <x:t xml:space="preserve">instruct</x:t>
        </x:is>
      </x:c>
      <x:c r="I194" t="inlineStr">
        <x:is>
          <x:t xml:space="preserve">Dense</x:t>
        </x:is>
      </x:c>
      <x:c s="16" r="J194" t="inlineStr">
        <x:is>
          <x:t xml:space="preserve">open</x:t>
        </x:is>
      </x:c>
      <x:c s="17" r="K194" t="inlineStr">
        <x:is>
          <x:t xml:space="preserve">https://huggingface.co/Qwen/Qwen2.5-Coder-7B-Instruct</x:t>
        </x:is>
      </x:c>
      <x:c s="17" r="L194" t="inlineStr">
        <x:is>
          <x:t xml:space="preserve">https://huggingface.co/Qwen/Qwen2.5-Coder-7B-Instruct-GGUF</x:t>
        </x:is>
      </x:c>
      <x:c s="14" r="M194" t="inlineStr">
        <x:is>
          <x:t xml:space="preserve">BF16/FP16</x:t>
        </x:is>
      </x:c>
      <x:c s="15" r="N194" t="n">
        <x:v>21.7</x:v>
      </x:c>
      <x:c s="14" r="O194" t="inlineStr">
        <x:is>
          <x:t xml:space="preserve">BF16/FP16</x:t>
        </x:is>
      </x:c>
      <x:c s="15" r="P194" t="n">
        <x:v>21.7</x:v>
      </x:c>
      <x:c s="14" r="Q194" t="inlineStr">
        <x:is>
          <x:t xml:space="preserve">Comfortable</x:t>
        </x:is>
      </x:c>
      <x:c s="18" r="R194" t="inlineStr">
        <x:is>
          <x:t xml:space="preserve">Code-specialized Qwen 2.5 family.</x:t>
        </x:is>
      </x:c>
      <x:c s="14" r="S194" t="inlineStr">
        <x:is>
          <x:t xml:space="preserve">current_family_page_2026-03-27</x:t>
        </x:is>
      </x:c>
      <x:c s="17" r="T194" t="inlineStr">
        <x:is>
          <x:t xml:space="preserve">https://huggingface.co/collections/Qwen/qwen25-coder-66f2e9e3bdbf8f6bcb2e315b</x:t>
        </x:is>
      </x:c>
      <x:c s="14" r="U194" t="inlineStr">
        <x:is>
          <x:t xml:space="preserve">Transformers; GGUF; AWQ/GPTQ</x:t>
        </x:is>
      </x:c>
      <x:c s="15" r="V194" t="n">
        <x:v>21.7</x:v>
      </x:c>
      <x:c s="15" r="W194" t="n">
        <x:v>12.9</x:v>
      </x:c>
      <x:c s="15" r="X194" t="n">
        <x:v>10.6</x:v>
      </x:c>
      <x:c s="15" r="Y194" t="n">
        <x:v>9.5</x:v>
      </x:c>
      <x:c s="15" r="Z194" t="n">
        <x:v>8.4</x:v>
      </x:c>
      <x:c s="15" r="AA194" t="n">
        <x:v>7.3</x:v>
      </x:c>
      <x:c s="15" r="AB194" t="n">
        <x:v>6.2</x:v>
      </x:c>
    </x:row>
    <x:row r="195">
      <x:c r="A195" t="inlineStr">
        <x:is>
          <x:t xml:space="preserve">Qwen</x:t>
        </x:is>
      </x:c>
      <x:c s="14" r="B195" t="inlineStr">
        <x:is>
          <x:t xml:space="preserve">Qwen/Qwen2.5-VL-7B-Instruct</x:t>
        </x:is>
      </x:c>
      <x:c s="14" r="C195" t="inlineStr">
        <x:is>
          <x:t xml:space="preserve">Qwen2.5-VL-7B-Instruct</x:t>
        </x:is>
      </x:c>
      <x:c s="15" r="D195" t="n">
        <x:v>7</x:v>
      </x:c>
      <x:c s="15" r="E195"/>
      <x:c s="14" r="F195" t="inlineStr">
        <x:is>
          <x:t xml:space="preserve">multimodal chat</x:t>
        </x:is>
      </x:c>
      <x:c s="14" r="G195" t="inlineStr">
        <x:is>
          <x:t xml:space="preserve">text+vision</x:t>
        </x:is>
      </x:c>
      <x:c r="H195" t="inlineStr">
        <x:is>
          <x:t xml:space="preserve">instruct</x:t>
        </x:is>
      </x:c>
      <x:c r="I195" t="inlineStr">
        <x:is>
          <x:t xml:space="preserve">Dense</x:t>
        </x:is>
      </x:c>
      <x:c s="16" r="J195" t="inlineStr">
        <x:is>
          <x:t xml:space="preserve">open</x:t>
        </x:is>
      </x:c>
      <x:c s="17" r="K195" t="inlineStr">
        <x:is>
          <x:t xml:space="preserve">https://huggingface.co/Qwen/Qwen2.5-VL-7B-Instruct</x:t>
        </x:is>
      </x:c>
      <x:c s="17" r="L195" t="inlineStr">
        <x:is>
          <x:t xml:space="preserve"/>
        </x:is>
      </x:c>
      <x:c s="14" r="M195" t="inlineStr">
        <x:is>
          <x:t xml:space="preserve">BF16/FP16</x:t>
        </x:is>
      </x:c>
      <x:c s="15" r="N195" t="n">
        <x:v>21.7</x:v>
      </x:c>
      <x:c s="14" r="O195" t="inlineStr">
        <x:is>
          <x:t xml:space="preserve">BF16/FP16</x:t>
        </x:is>
      </x:c>
      <x:c s="15" r="P195" t="n">
        <x:v>21.7</x:v>
      </x:c>
      <x:c s="14" r="Q195" t="inlineStr">
        <x:is>
          <x:t xml:space="preserve">Comfortable</x:t>
        </x:is>
      </x:c>
      <x:c s="18" r="R195" t="inlineStr">
        <x:is>
          <x:t xml:space="preserve">Qwen 2.5 VL multimodal family.</x:t>
        </x:is>
      </x:c>
      <x:c s="14" r="S195" t="inlineStr">
        <x:is>
          <x:t xml:space="preserve">current_family_page_2026-03-27</x:t>
        </x:is>
      </x:c>
      <x:c s="17" r="T195" t="inlineStr">
        <x:is>
          <x:t xml:space="preserve">https://huggingface.co/collections/Qwen/qwen25-vl-6795ffac22b334a837c0f9a5</x:t>
        </x:is>
      </x:c>
      <x:c s="14" r="U195" t="inlineStr">
        <x:is>
          <x:t xml:space="preserve">Transformers; GGUF; AWQ/GPTQ</x:t>
        </x:is>
      </x:c>
      <x:c s="15" r="V195" t="n">
        <x:v>21.7</x:v>
      </x:c>
      <x:c s="15" r="W195" t="n">
        <x:v>12.9</x:v>
      </x:c>
      <x:c s="15" r="X195" t="n">
        <x:v>10.6</x:v>
      </x:c>
      <x:c s="15" r="Y195" t="n">
        <x:v>9.5</x:v>
      </x:c>
      <x:c s="15" r="Z195" t="n">
        <x:v>8.4</x:v>
      </x:c>
      <x:c s="15" r="AA195" t="n">
        <x:v>7.3</x:v>
      </x:c>
      <x:c s="15" r="AB195" t="n">
        <x:v>6.2</x:v>
      </x:c>
    </x:row>
    <x:row r="196">
      <x:c r="A196" t="inlineStr">
        <x:is>
          <x:t xml:space="preserve">Qwen</x:t>
        </x:is>
      </x:c>
      <x:c s="14" r="B196" t="inlineStr">
        <x:is>
          <x:t xml:space="preserve">Qwen/Qwen3-4B</x:t>
        </x:is>
      </x:c>
      <x:c s="14" r="C196" t="inlineStr">
        <x:is>
          <x:t xml:space="preserve">Qwen3-4B</x:t>
        </x:is>
      </x:c>
      <x:c s="15" r="D196" t="n">
        <x:v>4</x:v>
      </x:c>
      <x:c s="15" r="E196"/>
      <x:c s="14" r="F196" t="inlineStr">
        <x:is>
          <x:t xml:space="preserve">general / reasoning dual-mode</x:t>
        </x:is>
      </x:c>
      <x:c s="14" r="G196" t="inlineStr">
        <x:is>
          <x:t xml:space="preserve">text</x:t>
        </x:is>
      </x:c>
      <x:c r="H196" t="inlineStr">
        <x:is>
          <x:t xml:space="preserve">dual-mode</x:t>
        </x:is>
      </x:c>
      <x:c r="I196" t="inlineStr">
        <x:is>
          <x:t xml:space="preserve">Dense</x:t>
        </x:is>
      </x:c>
      <x:c s="16" r="J196" t="inlineStr">
        <x:is>
          <x:t xml:space="preserve">open</x:t>
        </x:is>
      </x:c>
      <x:c s="17" r="K196" t="inlineStr">
        <x:is>
          <x:t xml:space="preserve">https://huggingface.co/Qwen/Qwen3-4B</x:t>
        </x:is>
      </x:c>
      <x:c s="17" r="L196" t="inlineStr">
        <x:is>
          <x:t xml:space="preserve"/>
        </x:is>
      </x:c>
      <x:c s="14" r="M196" t="inlineStr">
        <x:is>
          <x:t xml:space="preserve">BF16/FP16</x:t>
        </x:is>
      </x:c>
      <x:c s="15" r="N196" t="n">
        <x:v>14.1</x:v>
      </x:c>
      <x:c s="14" r="O196" t="inlineStr">
        <x:is>
          <x:t xml:space="preserve">BF16/FP16</x:t>
        </x:is>
      </x:c>
      <x:c s="15" r="P196" t="n">
        <x:v>14.1</x:v>
      </x:c>
      <x:c s="14" r="Q196" t="inlineStr">
        <x:is>
          <x:t xml:space="preserve">Comfortable</x:t>
        </x:is>
      </x:c>
      <x:c s="18" r="R196" t="inlineStr">
        <x:is>
          <x:t xml:space="preserve">Qwen3 dense family supports thinking and non-thinking modes.</x:t>
        </x:is>
      </x:c>
      <x:c s="14" r="S196" t="inlineStr">
        <x:is>
          <x:t xml:space="preserve">current_repo_page_2026-03-27</x:t>
        </x:is>
      </x:c>
      <x:c s="17" r="T196" t="inlineStr">
        <x:is>
          <x:t xml:space="preserve">https://huggingface.co/Qwen/Qwen3-32B</x:t>
        </x:is>
      </x:c>
      <x:c s="14" r="U196" t="inlineStr">
        <x:is>
          <x:t xml:space="preserve">Transformers; GGUF; AWQ/GPTQ</x:t>
        </x:is>
      </x:c>
      <x:c s="15" r="V196" t="n">
        <x:v>14.1</x:v>
      </x:c>
      <x:c s="15" r="W196" t="n">
        <x:v>9.1</x:v>
      </x:c>
      <x:c s="15" r="X196" t="n">
        <x:v>7.8</x:v>
      </x:c>
      <x:c s="15" r="Y196" t="n">
        <x:v>7.2</x:v>
      </x:c>
      <x:c s="15" r="Z196" t="n">
        <x:v>6.5</x:v>
      </x:c>
      <x:c s="15" r="AA196" t="n">
        <x:v>5.9</x:v>
      </x:c>
      <x:c s="15" r="AB196" t="n">
        <x:v>5.3</x:v>
      </x:c>
    </x:row>
    <x:row r="197">
      <x:c r="A197" t="inlineStr">
        <x:is>
          <x:t xml:space="preserve">Qwen</x:t>
        </x:is>
      </x:c>
      <x:c s="14" r="B197" t="inlineStr">
        <x:is>
          <x:t xml:space="preserve">Qwen/Qwen3.5-4B</x:t>
        </x:is>
      </x:c>
      <x:c s="14" r="C197" t="inlineStr">
        <x:is>
          <x:t xml:space="preserve">Qwen3.5-4B</x:t>
        </x:is>
      </x:c>
      <x:c s="15" r="D197" t="n">
        <x:v>4</x:v>
      </x:c>
      <x:c s="15" r="E197"/>
      <x:c s="14" r="F197" t="inlineStr">
        <x:is>
          <x:t xml:space="preserve">multimodal</x:t>
        </x:is>
      </x:c>
      <x:c s="14" r="G197" t="inlineStr">
        <x:is>
          <x:t xml:space="preserve">text+vision</x:t>
        </x:is>
      </x:c>
      <x:c r="H197" t="inlineStr">
        <x:is>
          <x:t xml:space="preserve">multimodal</x:t>
        </x:is>
      </x:c>
      <x:c r="I197" t="inlineStr">
        <x:is>
          <x:t xml:space="preserve">Dense</x:t>
        </x:is>
      </x:c>
      <x:c s="16" r="J197" t="inlineStr">
        <x:is>
          <x:t xml:space="preserve">open</x:t>
        </x:is>
      </x:c>
      <x:c s="17" r="K197" t="inlineStr">
        <x:is>
          <x:t xml:space="preserve">https://huggingface.co/Qwen/Qwen3.5-4B</x:t>
        </x:is>
      </x:c>
      <x:c s="17" r="L197" t="inlineStr">
        <x:is>
          <x:t xml:space="preserve"/>
        </x:is>
      </x:c>
      <x:c s="14" r="M197" t="inlineStr">
        <x:is>
          <x:t xml:space="preserve">BF16/FP16</x:t>
        </x:is>
      </x:c>
      <x:c s="15" r="N197" t="n">
        <x:v>14.1</x:v>
      </x:c>
      <x:c s="14" r="O197" t="inlineStr">
        <x:is>
          <x:t xml:space="preserve">BF16/FP16</x:t>
        </x:is>
      </x:c>
      <x:c s="15" r="P197" t="n">
        <x:v>14.1</x:v>
      </x:c>
      <x:c s="14" r="Q197" t="inlineStr">
        <x:is>
          <x:t xml:space="preserve">Comfortable</x:t>
        </x:is>
      </x:c>
      <x:c s="18" r="R197" t="inlineStr">
        <x:is>
          <x:t xml:space="preserve">Qwen3.5 multimodal family.</x:t>
        </x:is>
      </x:c>
      <x:c s="14" r="S197" t="inlineStr">
        <x:is>
          <x:t xml:space="preserve">current_org_page_2026-03-27</x:t>
        </x:is>
      </x:c>
      <x:c s="17" r="T197" t="inlineStr">
        <x:is>
          <x:t xml:space="preserve">https://huggingface.co/Qwen</x:t>
        </x:is>
      </x:c>
      <x:c s="14" r="U197" t="inlineStr">
        <x:is>
          <x:t xml:space="preserve">Transformers; GGUF; AWQ/GPTQ</x:t>
        </x:is>
      </x:c>
      <x:c s="15" r="V197" t="n">
        <x:v>14.1</x:v>
      </x:c>
      <x:c s="15" r="W197" t="n">
        <x:v>9.1</x:v>
      </x:c>
      <x:c s="15" r="X197" t="n">
        <x:v>7.8</x:v>
      </x:c>
      <x:c s="15" r="Y197" t="n">
        <x:v>7.2</x:v>
      </x:c>
      <x:c s="15" r="Z197" t="n">
        <x:v>6.5</x:v>
      </x:c>
      <x:c s="15" r="AA197" t="n">
        <x:v>5.9</x:v>
      </x:c>
      <x:c s="15" r="AB197" t="n">
        <x:v>5.3</x:v>
      </x:c>
    </x:row>
    <x:row r="198">
      <x:c r="A198" t="inlineStr">
        <x:is>
          <x:t xml:space="preserve">Qwen</x:t>
        </x:is>
      </x:c>
      <x:c s="14" r="B198" t="inlineStr">
        <x:is>
          <x:t xml:space="preserve">Qwen/Qwen2.5-3B</x:t>
        </x:is>
      </x:c>
      <x:c s="14" r="C198" t="inlineStr">
        <x:is>
          <x:t xml:space="preserve">Qwen2.5-3B</x:t>
        </x:is>
      </x:c>
      <x:c s="15" r="D198" t="n">
        <x:v>3</x:v>
      </x:c>
      <x:c s="15" r="E198"/>
      <x:c s="14" r="F198" t="inlineStr">
        <x:is>
          <x:t xml:space="preserve">general</x:t>
        </x:is>
      </x:c>
      <x:c s="14" r="G198" t="inlineStr">
        <x:is>
          <x:t xml:space="preserve">text</x:t>
        </x:is>
      </x:c>
      <x:c r="H198" t="inlineStr">
        <x:is>
          <x:t xml:space="preserve">base</x:t>
        </x:is>
      </x:c>
      <x:c r="I198" t="inlineStr">
        <x:is>
          <x:t xml:space="preserve">Dense</x:t>
        </x:is>
      </x:c>
      <x:c s="16" r="J198" t="inlineStr">
        <x:is>
          <x:t xml:space="preserve">open</x:t>
        </x:is>
      </x:c>
      <x:c s="17" r="K198" t="inlineStr">
        <x:is>
          <x:t xml:space="preserve">https://huggingface.co/Qwen/Qwen2.5-3B</x:t>
        </x:is>
      </x:c>
      <x:c s="17" r="L198" t="inlineStr">
        <x:is>
          <x:t xml:space="preserve"/>
        </x:is>
      </x:c>
      <x:c s="14" r="M198" t="inlineStr">
        <x:is>
          <x:t xml:space="preserve">BF16/FP16</x:t>
        </x:is>
      </x:c>
      <x:c s="15" r="N198" t="n">
        <x:v>11.6</x:v>
      </x:c>
      <x:c s="14" r="O198" t="inlineStr">
        <x:is>
          <x:t xml:space="preserve">BF16/FP16</x:t>
        </x:is>
      </x:c>
      <x:c s="15" r="P198" t="n">
        <x:v>11.6</x:v>
      </x:c>
      <x:c s="14" r="Q198" t="inlineStr">
        <x:is>
          <x:t xml:space="preserve">Comfortable</x:t>
        </x:is>
      </x:c>
      <x:c s="18" r="R198" t="inlineStr">
        <x:is>
          <x:t xml:space="preserve">Mainstream Qwen 2.5 family.</x:t>
        </x:is>
      </x:c>
      <x:c s="14" r="S198" t="inlineStr">
        <x:is>
          <x:t xml:space="preserve">current_family_page_2026-03-27</x:t>
        </x:is>
      </x:c>
      <x:c s="17" r="T198" t="inlineStr">
        <x:is>
          <x:t xml:space="preserve">https://huggingface.co/collections/Qwen/qwen25-66e81a666513e518adb90d9e</x:t>
        </x:is>
      </x:c>
      <x:c s="14" r="U198" t="inlineStr">
        <x:is>
          <x:t xml:space="preserve">Transformers; GGUF; AWQ/GPTQ</x:t>
        </x:is>
      </x:c>
      <x:c s="15" r="V198" t="n">
        <x:v>11.6</x:v>
      </x:c>
      <x:c s="15" r="W198" t="n">
        <x:v>7.8</x:v>
      </x:c>
      <x:c s="15" r="X198" t="n">
        <x:v>6.8</x:v>
      </x:c>
      <x:c s="15" r="Y198" t="n">
        <x:v>6.4</x:v>
      </x:c>
      <x:c s="15" r="Z198" t="n">
        <x:v>5.9</x:v>
      </x:c>
      <x:c s="15" r="AA198" t="n">
        <x:v>5.4</x:v>
      </x:c>
      <x:c s="15" r="AB198" t="n">
        <x:v>4.9</x:v>
      </x:c>
    </x:row>
    <x:row r="199">
      <x:c r="A199" t="inlineStr">
        <x:is>
          <x:t xml:space="preserve">Qwen</x:t>
        </x:is>
      </x:c>
      <x:c s="14" r="B199" t="inlineStr">
        <x:is>
          <x:t xml:space="preserve">Qwen/Qwen2.5-3B-Instruct</x:t>
        </x:is>
      </x:c>
      <x:c s="14" r="C199" t="inlineStr">
        <x:is>
          <x:t xml:space="preserve">Qwen2.5-3B-Instruct</x:t>
        </x:is>
      </x:c>
      <x:c s="15" r="D199" t="n">
        <x:v>3</x:v>
      </x:c>
      <x:c s="15" r="E199"/>
      <x:c s="14" r="F199" t="inlineStr">
        <x:is>
          <x:t xml:space="preserve">general chat</x:t>
        </x:is>
      </x:c>
      <x:c s="14" r="G199" t="inlineStr">
        <x:is>
          <x:t xml:space="preserve">text</x:t>
        </x:is>
      </x:c>
      <x:c r="H199" t="inlineStr">
        <x:is>
          <x:t xml:space="preserve">instruct</x:t>
        </x:is>
      </x:c>
      <x:c r="I199" t="inlineStr">
        <x:is>
          <x:t xml:space="preserve">Dense</x:t>
        </x:is>
      </x:c>
      <x:c s="16" r="J199" t="inlineStr">
        <x:is>
          <x:t xml:space="preserve">open</x:t>
        </x:is>
      </x:c>
      <x:c s="17" r="K199" t="inlineStr">
        <x:is>
          <x:t xml:space="preserve">https://huggingface.co/Qwen/Qwen2.5-3B-Instruct</x:t>
        </x:is>
      </x:c>
      <x:c s="17" r="L199" t="inlineStr">
        <x:is>
          <x:t xml:space="preserve">https://huggingface.co/Qwen/Qwen2.5-3B-Instruct-GGUF</x:t>
        </x:is>
      </x:c>
      <x:c s="14" r="M199" t="inlineStr">
        <x:is>
          <x:t xml:space="preserve">BF16/FP16</x:t>
        </x:is>
      </x:c>
      <x:c s="15" r="N199" t="n">
        <x:v>11.6</x:v>
      </x:c>
      <x:c s="14" r="O199" t="inlineStr">
        <x:is>
          <x:t xml:space="preserve">BF16/FP16</x:t>
        </x:is>
      </x:c>
      <x:c s="15" r="P199" t="n">
        <x:v>11.6</x:v>
      </x:c>
      <x:c s="14" r="Q199" t="inlineStr">
        <x:is>
          <x:t xml:space="preserve">Comfortable</x:t>
        </x:is>
      </x:c>
      <x:c s="18" r="R199" t="inlineStr">
        <x:is>
          <x:t xml:space="preserve">Mainstream Qwen 2.5 family.</x:t>
        </x:is>
      </x:c>
      <x:c s="14" r="S199" t="inlineStr">
        <x:is>
          <x:t xml:space="preserve">current_family_page_2026-03-27</x:t>
        </x:is>
      </x:c>
      <x:c s="17" r="T199" t="inlineStr">
        <x:is>
          <x:t xml:space="preserve">https://huggingface.co/collections/Qwen/qwen25-66e81a666513e518adb90d9e</x:t>
        </x:is>
      </x:c>
      <x:c s="14" r="U199" t="inlineStr">
        <x:is>
          <x:t xml:space="preserve">Transformers; GGUF; AWQ/GPTQ</x:t>
        </x:is>
      </x:c>
      <x:c s="15" r="V199" t="n">
        <x:v>11.6</x:v>
      </x:c>
      <x:c s="15" r="W199" t="n">
        <x:v>7.8</x:v>
      </x:c>
      <x:c s="15" r="X199" t="n">
        <x:v>6.8</x:v>
      </x:c>
      <x:c s="15" r="Y199" t="n">
        <x:v>6.4</x:v>
      </x:c>
      <x:c s="15" r="Z199" t="n">
        <x:v>5.9</x:v>
      </x:c>
      <x:c s="15" r="AA199" t="n">
        <x:v>5.4</x:v>
      </x:c>
      <x:c s="15" r="AB199" t="n">
        <x:v>4.9</x:v>
      </x:c>
    </x:row>
    <x:row r="200">
      <x:c r="A200" t="inlineStr">
        <x:is>
          <x:t xml:space="preserve">Qwen</x:t>
        </x:is>
      </x:c>
      <x:c s="14" r="B200" t="inlineStr">
        <x:is>
          <x:t xml:space="preserve">Qwen/Qwen2.5-Coder-3B</x:t>
        </x:is>
      </x:c>
      <x:c s="14" r="C200" t="inlineStr">
        <x:is>
          <x:t xml:space="preserve">Qwen2.5-Coder-3B</x:t>
        </x:is>
      </x:c>
      <x:c s="15" r="D200" t="n">
        <x:v>3</x:v>
      </x:c>
      <x:c s="15" r="E200"/>
      <x:c s="14" r="F200" t="inlineStr">
        <x:is>
          <x:t xml:space="preserve">coding</x:t>
        </x:is>
      </x:c>
      <x:c s="14" r="G200" t="inlineStr">
        <x:is>
          <x:t xml:space="preserve">text</x:t>
        </x:is>
      </x:c>
      <x:c r="H200" t="inlineStr">
        <x:is>
          <x:t xml:space="preserve">base</x:t>
        </x:is>
      </x:c>
      <x:c r="I200" t="inlineStr">
        <x:is>
          <x:t xml:space="preserve">Dense</x:t>
        </x:is>
      </x:c>
      <x:c s="16" r="J200" t="inlineStr">
        <x:is>
          <x:t xml:space="preserve">open</x:t>
        </x:is>
      </x:c>
      <x:c s="17" r="K200" t="inlineStr">
        <x:is>
          <x:t xml:space="preserve">https://huggingface.co/Qwen/Qwen2.5-Coder-3B</x:t>
        </x:is>
      </x:c>
      <x:c s="17" r="L200" t="inlineStr">
        <x:is>
          <x:t xml:space="preserve"/>
        </x:is>
      </x:c>
      <x:c s="14" r="M200" t="inlineStr">
        <x:is>
          <x:t xml:space="preserve">BF16/FP16</x:t>
        </x:is>
      </x:c>
      <x:c s="15" r="N200" t="n">
        <x:v>11.6</x:v>
      </x:c>
      <x:c s="14" r="O200" t="inlineStr">
        <x:is>
          <x:t xml:space="preserve">BF16/FP16</x:t>
        </x:is>
      </x:c>
      <x:c s="15" r="P200" t="n">
        <x:v>11.6</x:v>
      </x:c>
      <x:c s="14" r="Q200" t="inlineStr">
        <x:is>
          <x:t xml:space="preserve">Comfortable</x:t>
        </x:is>
      </x:c>
      <x:c s="18" r="R200" t="inlineStr">
        <x:is>
          <x:t xml:space="preserve">Code-specialized Qwen 2.5 family.</x:t>
        </x:is>
      </x:c>
      <x:c s="14" r="S200" t="inlineStr">
        <x:is>
          <x:t xml:space="preserve">current_family_page_2026-03-27</x:t>
        </x:is>
      </x:c>
      <x:c s="17" r="T200" t="inlineStr">
        <x:is>
          <x:t xml:space="preserve">https://huggingface.co/collections/Qwen/qwen25-coder-66f2e9e3bdbf8f6bcb2e315b</x:t>
        </x:is>
      </x:c>
      <x:c s="14" r="U200" t="inlineStr">
        <x:is>
          <x:t xml:space="preserve">Transformers; GGUF; AWQ/GPTQ</x:t>
        </x:is>
      </x:c>
      <x:c s="15" r="V200" t="n">
        <x:v>11.6</x:v>
      </x:c>
      <x:c s="15" r="W200" t="n">
        <x:v>7.8</x:v>
      </x:c>
      <x:c s="15" r="X200" t="n">
        <x:v>6.8</x:v>
      </x:c>
      <x:c s="15" r="Y200" t="n">
        <x:v>6.4</x:v>
      </x:c>
      <x:c s="15" r="Z200" t="n">
        <x:v>5.9</x:v>
      </x:c>
      <x:c s="15" r="AA200" t="n">
        <x:v>5.4</x:v>
      </x:c>
      <x:c s="15" r="AB200" t="n">
        <x:v>4.9</x:v>
      </x:c>
    </x:row>
    <x:row r="201">
      <x:c r="A201" t="inlineStr">
        <x:is>
          <x:t xml:space="preserve">Qwen</x:t>
        </x:is>
      </x:c>
      <x:c s="14" r="B201" t="inlineStr">
        <x:is>
          <x:t xml:space="preserve">Qwen/Qwen2.5-Coder-3B-Instruct</x:t>
        </x:is>
      </x:c>
      <x:c s="14" r="C201" t="inlineStr">
        <x:is>
          <x:t xml:space="preserve">Qwen2.5-Coder-3B-Instruct</x:t>
        </x:is>
      </x:c>
      <x:c s="15" r="D201" t="n">
        <x:v>3</x:v>
      </x:c>
      <x:c s="15" r="E201"/>
      <x:c s="14" r="F201" t="inlineStr">
        <x:is>
          <x:t xml:space="preserve">coding chat</x:t>
        </x:is>
      </x:c>
      <x:c s="14" r="G201" t="inlineStr">
        <x:is>
          <x:t xml:space="preserve">text</x:t>
        </x:is>
      </x:c>
      <x:c r="H201" t="inlineStr">
        <x:is>
          <x:t xml:space="preserve">instruct</x:t>
        </x:is>
      </x:c>
      <x:c r="I201" t="inlineStr">
        <x:is>
          <x:t xml:space="preserve">Dense</x:t>
        </x:is>
      </x:c>
      <x:c s="16" r="J201" t="inlineStr">
        <x:is>
          <x:t xml:space="preserve">open</x:t>
        </x:is>
      </x:c>
      <x:c s="17" r="K201" t="inlineStr">
        <x:is>
          <x:t xml:space="preserve">https://huggingface.co/Qwen/Qwen2.5-Coder-3B-Instruct</x:t>
        </x:is>
      </x:c>
      <x:c s="17" r="L201" t="inlineStr">
        <x:is>
          <x:t xml:space="preserve">https://huggingface.co/Qwen/Qwen2.5-Coder-3B-Instruct-GGUF</x:t>
        </x:is>
      </x:c>
      <x:c s="14" r="M201" t="inlineStr">
        <x:is>
          <x:t xml:space="preserve">BF16/FP16</x:t>
        </x:is>
      </x:c>
      <x:c s="15" r="N201" t="n">
        <x:v>11.6</x:v>
      </x:c>
      <x:c s="14" r="O201" t="inlineStr">
        <x:is>
          <x:t xml:space="preserve">BF16/FP16</x:t>
        </x:is>
      </x:c>
      <x:c s="15" r="P201" t="n">
        <x:v>11.6</x:v>
      </x:c>
      <x:c s="14" r="Q201" t="inlineStr">
        <x:is>
          <x:t xml:space="preserve">Comfortable</x:t>
        </x:is>
      </x:c>
      <x:c s="18" r="R201" t="inlineStr">
        <x:is>
          <x:t xml:space="preserve">Code-specialized Qwen 2.5 family.</x:t>
        </x:is>
      </x:c>
      <x:c s="14" r="S201" t="inlineStr">
        <x:is>
          <x:t xml:space="preserve">current_family_page_2026-03-27</x:t>
        </x:is>
      </x:c>
      <x:c s="17" r="T201" t="inlineStr">
        <x:is>
          <x:t xml:space="preserve">https://huggingface.co/collections/Qwen/qwen25-coder-66f2e9e3bdbf8f6bcb2e315b</x:t>
        </x:is>
      </x:c>
      <x:c s="14" r="U201" t="inlineStr">
        <x:is>
          <x:t xml:space="preserve">Transformers; GGUF; AWQ/GPTQ</x:t>
        </x:is>
      </x:c>
      <x:c s="15" r="V201" t="n">
        <x:v>11.6</x:v>
      </x:c>
      <x:c s="15" r="W201" t="n">
        <x:v>7.8</x:v>
      </x:c>
      <x:c s="15" r="X201" t="n">
        <x:v>6.8</x:v>
      </x:c>
      <x:c s="15" r="Y201" t="n">
        <x:v>6.4</x:v>
      </x:c>
      <x:c s="15" r="Z201" t="n">
        <x:v>5.9</x:v>
      </x:c>
      <x:c s="15" r="AA201" t="n">
        <x:v>5.4</x:v>
      </x:c>
      <x:c s="15" r="AB201" t="n">
        <x:v>4.9</x:v>
      </x:c>
    </x:row>
    <x:row r="202">
      <x:c r="A202" t="inlineStr">
        <x:is>
          <x:t xml:space="preserve">Qwen</x:t>
        </x:is>
      </x:c>
      <x:c s="14" r="B202" t="inlineStr">
        <x:is>
          <x:t xml:space="preserve">Qwen/Qwen2.5-VL-3B-Instruct</x:t>
        </x:is>
      </x:c>
      <x:c s="14" r="C202" t="inlineStr">
        <x:is>
          <x:t xml:space="preserve">Qwen2.5-VL-3B-Instruct</x:t>
        </x:is>
      </x:c>
      <x:c s="15" r="D202" t="n">
        <x:v>3</x:v>
      </x:c>
      <x:c s="15" r="E202"/>
      <x:c s="14" r="F202" t="inlineStr">
        <x:is>
          <x:t xml:space="preserve">multimodal chat</x:t>
        </x:is>
      </x:c>
      <x:c s="14" r="G202" t="inlineStr">
        <x:is>
          <x:t xml:space="preserve">text+vision</x:t>
        </x:is>
      </x:c>
      <x:c r="H202" t="inlineStr">
        <x:is>
          <x:t xml:space="preserve">instruct</x:t>
        </x:is>
      </x:c>
      <x:c r="I202" t="inlineStr">
        <x:is>
          <x:t xml:space="preserve">Dense</x:t>
        </x:is>
      </x:c>
      <x:c s="16" r="J202" t="inlineStr">
        <x:is>
          <x:t xml:space="preserve">open</x:t>
        </x:is>
      </x:c>
      <x:c s="17" r="K202" t="inlineStr">
        <x:is>
          <x:t xml:space="preserve">https://huggingface.co/Qwen/Qwen2.5-VL-3B-Instruct</x:t>
        </x:is>
      </x:c>
      <x:c s="17" r="L202" t="inlineStr">
        <x:is>
          <x:t xml:space="preserve"/>
        </x:is>
      </x:c>
      <x:c s="14" r="M202" t="inlineStr">
        <x:is>
          <x:t xml:space="preserve">BF16/FP16</x:t>
        </x:is>
      </x:c>
      <x:c s="15" r="N202" t="n">
        <x:v>11.6</x:v>
      </x:c>
      <x:c s="14" r="O202" t="inlineStr">
        <x:is>
          <x:t xml:space="preserve">BF16/FP16</x:t>
        </x:is>
      </x:c>
      <x:c s="15" r="P202" t="n">
        <x:v>11.6</x:v>
      </x:c>
      <x:c s="14" r="Q202" t="inlineStr">
        <x:is>
          <x:t xml:space="preserve">Comfortable</x:t>
        </x:is>
      </x:c>
      <x:c s="18" r="R202" t="inlineStr">
        <x:is>
          <x:t xml:space="preserve">Qwen 2.5 VL multimodal family.</x:t>
        </x:is>
      </x:c>
      <x:c s="14" r="S202" t="inlineStr">
        <x:is>
          <x:t xml:space="preserve">current_family_page_2026-03-27</x:t>
        </x:is>
      </x:c>
      <x:c s="17" r="T202" t="inlineStr">
        <x:is>
          <x:t xml:space="preserve">https://huggingface.co/collections/Qwen/qwen25-vl-6795ffac22b334a837c0f9a5</x:t>
        </x:is>
      </x:c>
      <x:c s="14" r="U202" t="inlineStr">
        <x:is>
          <x:t xml:space="preserve">Transformers; GGUF; AWQ/GPTQ</x:t>
        </x:is>
      </x:c>
      <x:c s="15" r="V202" t="n">
        <x:v>11.6</x:v>
      </x:c>
      <x:c s="15" r="W202" t="n">
        <x:v>7.8</x:v>
      </x:c>
      <x:c s="15" r="X202" t="n">
        <x:v>6.8</x:v>
      </x:c>
      <x:c s="15" r="Y202" t="n">
        <x:v>6.4</x:v>
      </x:c>
      <x:c s="15" r="Z202" t="n">
        <x:v>5.9</x:v>
      </x:c>
      <x:c s="15" r="AA202" t="n">
        <x:v>5.4</x:v>
      </x:c>
      <x:c s="15" r="AB202" t="n">
        <x:v>4.9</x:v>
      </x:c>
    </x:row>
    <x:row r="203">
      <x:c r="A203" t="inlineStr">
        <x:is>
          <x:t xml:space="preserve">Qwen</x:t>
        </x:is>
      </x:c>
      <x:c s="14" r="B203" t="inlineStr">
        <x:is>
          <x:t xml:space="preserve">Qwen/Qwen3.5-2B</x:t>
        </x:is>
      </x:c>
      <x:c s="14" r="C203" t="inlineStr">
        <x:is>
          <x:t xml:space="preserve">Qwen3.5-2B</x:t>
        </x:is>
      </x:c>
      <x:c s="15" r="D203" t="n">
        <x:v>2</x:v>
      </x:c>
      <x:c s="15" r="E203"/>
      <x:c s="14" r="F203" t="inlineStr">
        <x:is>
          <x:t xml:space="preserve">multimodal</x:t>
        </x:is>
      </x:c>
      <x:c s="14" r="G203" t="inlineStr">
        <x:is>
          <x:t xml:space="preserve">text+vision</x:t>
        </x:is>
      </x:c>
      <x:c r="H203" t="inlineStr">
        <x:is>
          <x:t xml:space="preserve">multimodal</x:t>
        </x:is>
      </x:c>
      <x:c r="I203" t="inlineStr">
        <x:is>
          <x:t xml:space="preserve">Dense</x:t>
        </x:is>
      </x:c>
      <x:c s="16" r="J203" t="inlineStr">
        <x:is>
          <x:t xml:space="preserve">open</x:t>
        </x:is>
      </x:c>
      <x:c s="17" r="K203" t="inlineStr">
        <x:is>
          <x:t xml:space="preserve">https://huggingface.co/Qwen/Qwen3.5-2B</x:t>
        </x:is>
      </x:c>
      <x:c s="17" r="L203" t="inlineStr">
        <x:is>
          <x:t xml:space="preserve"/>
        </x:is>
      </x:c>
      <x:c s="14" r="M203" t="inlineStr">
        <x:is>
          <x:t xml:space="preserve">BF16/FP16</x:t>
        </x:is>
      </x:c>
      <x:c s="15" r="N203" t="n">
        <x:v>9.1</x:v>
      </x:c>
      <x:c s="14" r="O203" t="inlineStr">
        <x:is>
          <x:t xml:space="preserve">BF16/FP16</x:t>
        </x:is>
      </x:c>
      <x:c s="15" r="P203" t="n">
        <x:v>9.1</x:v>
      </x:c>
      <x:c s="14" r="Q203" t="inlineStr">
        <x:is>
          <x:t xml:space="preserve">Comfortable</x:t>
        </x:is>
      </x:c>
      <x:c s="18" r="R203" t="inlineStr">
        <x:is>
          <x:t xml:space="preserve">Qwen3.5 multimodal family.</x:t>
        </x:is>
      </x:c>
      <x:c s="14" r="S203" t="inlineStr">
        <x:is>
          <x:t xml:space="preserve">current_org_page_2026-03-27</x:t>
        </x:is>
      </x:c>
      <x:c s="17" r="T203" t="inlineStr">
        <x:is>
          <x:t xml:space="preserve">https://huggingface.co/Qwen</x:t>
        </x:is>
      </x:c>
      <x:c s="14" r="U203" t="inlineStr">
        <x:is>
          <x:t xml:space="preserve">Transformers; GGUF; AWQ/GPTQ</x:t>
        </x:is>
      </x:c>
      <x:c s="15" r="V203" t="n">
        <x:v>9.1</x:v>
      </x:c>
      <x:c s="15" r="W203" t="n">
        <x:v>6.5</x:v>
      </x:c>
      <x:c s="15" r="X203" t="n">
        <x:v>5.9</x:v>
      </x:c>
      <x:c s="15" r="Y203" t="n">
        <x:v>5.6</x:v>
      </x:c>
      <x:c s="15" r="Z203" t="n">
        <x:v>5.3</x:v>
      </x:c>
      <x:c s="15" r="AA203" t="n">
        <x:v>4.9</x:v>
      </x:c>
      <x:c s="15" r="AB203" t="n">
        <x:v>4.6</x:v>
      </x:c>
    </x:row>
    <x:row r="204">
      <x:c r="A204" t="inlineStr">
        <x:is>
          <x:t xml:space="preserve">Qwen</x:t>
        </x:is>
      </x:c>
      <x:c s="14" r="B204" t="inlineStr">
        <x:is>
          <x:t xml:space="preserve">Qwen/Qwen3-1.7B</x:t>
        </x:is>
      </x:c>
      <x:c s="14" r="C204" t="inlineStr">
        <x:is>
          <x:t xml:space="preserve">Qwen3-1.7B</x:t>
        </x:is>
      </x:c>
      <x:c s="15" r="D204" t="n">
        <x:v>1.7</x:v>
      </x:c>
      <x:c s="15" r="E204"/>
      <x:c s="14" r="F204" t="inlineStr">
        <x:is>
          <x:t xml:space="preserve">general / reasoning dual-mode</x:t>
        </x:is>
      </x:c>
      <x:c s="14" r="G204" t="inlineStr">
        <x:is>
          <x:t xml:space="preserve">text</x:t>
        </x:is>
      </x:c>
      <x:c r="H204" t="inlineStr">
        <x:is>
          <x:t xml:space="preserve">dual-mode</x:t>
        </x:is>
      </x:c>
      <x:c r="I204" t="inlineStr">
        <x:is>
          <x:t xml:space="preserve">Dense</x:t>
        </x:is>
      </x:c>
      <x:c s="16" r="J204" t="inlineStr">
        <x:is>
          <x:t xml:space="preserve">open</x:t>
        </x:is>
      </x:c>
      <x:c s="17" r="K204" t="inlineStr">
        <x:is>
          <x:t xml:space="preserve">https://huggingface.co/Qwen/Qwen3-1.7B</x:t>
        </x:is>
      </x:c>
      <x:c s="17" r="L204" t="inlineStr">
        <x:is>
          <x:t xml:space="preserve"/>
        </x:is>
      </x:c>
      <x:c s="14" r="M204" t="inlineStr">
        <x:is>
          <x:t xml:space="preserve">BF16/FP16</x:t>
        </x:is>
      </x:c>
      <x:c s="15" r="N204" t="n">
        <x:v>8.3</x:v>
      </x:c>
      <x:c s="14" r="O204" t="inlineStr">
        <x:is>
          <x:t xml:space="preserve">BF16/FP16</x:t>
        </x:is>
      </x:c>
      <x:c s="15" r="P204" t="n">
        <x:v>8.3</x:v>
      </x:c>
      <x:c s="14" r="Q204" t="inlineStr">
        <x:is>
          <x:t xml:space="preserve">Comfortable</x:t>
        </x:is>
      </x:c>
      <x:c s="18" r="R204" t="inlineStr">
        <x:is>
          <x:t xml:space="preserve">Qwen3 dense family supports thinking and non-thinking modes.</x:t>
        </x:is>
      </x:c>
      <x:c s="14" r="S204" t="inlineStr">
        <x:is>
          <x:t xml:space="preserve">current_repo_page_2026-03-27</x:t>
        </x:is>
      </x:c>
      <x:c s="17" r="T204" t="inlineStr">
        <x:is>
          <x:t xml:space="preserve">https://huggingface.co/Qwen/Qwen3-32B</x:t>
        </x:is>
      </x:c>
      <x:c s="14" r="U204" t="inlineStr">
        <x:is>
          <x:t xml:space="preserve">Transformers; GGUF; AWQ/GPTQ</x:t>
        </x:is>
      </x:c>
      <x:c s="15" r="V204" t="n">
        <x:v>8.3</x:v>
      </x:c>
      <x:c s="15" r="W204" t="n">
        <x:v>6.2</x:v>
      </x:c>
      <x:c s="15" r="X204" t="n">
        <x:v>5.6</x:v>
      </x:c>
      <x:c s="15" r="Y204" t="n">
        <x:v>5.3</x:v>
      </x:c>
      <x:c s="15" r="Z204" t="n">
        <x:v>5.1</x:v>
      </x:c>
      <x:c s="15" r="AA204" t="n">
        <x:v>4.8</x:v>
      </x:c>
      <x:c s="15" r="AB204" t="n">
        <x:v>4.5</x:v>
      </x:c>
    </x:row>
    <x:row r="205">
      <x:c r="A205" t="inlineStr">
        <x:is>
          <x:t xml:space="preserve">Qwen</x:t>
        </x:is>
      </x:c>
      <x:c s="14" r="B205" t="inlineStr">
        <x:is>
          <x:t xml:space="preserve">Qwen/Qwen2-1.5B</x:t>
        </x:is>
      </x:c>
      <x:c s="14" r="C205" t="inlineStr">
        <x:is>
          <x:t xml:space="preserve">Qwen2-1.5B</x:t>
        </x:is>
      </x:c>
      <x:c s="15" r="D205" t="n">
        <x:v>1.5</x:v>
      </x:c>
      <x:c s="15" r="E205"/>
      <x:c s="14" r="F205" t="inlineStr">
        <x:is>
          <x:t xml:space="preserve">general</x:t>
        </x:is>
      </x:c>
      <x:c s="14" r="G205" t="inlineStr">
        <x:is>
          <x:t xml:space="preserve">text</x:t>
        </x:is>
      </x:c>
      <x:c r="H205" t="inlineStr">
        <x:is>
          <x:t xml:space="preserve">base</x:t>
        </x:is>
      </x:c>
      <x:c r="I205" t="inlineStr">
        <x:is>
          <x:t xml:space="preserve">Dense</x:t>
        </x:is>
      </x:c>
      <x:c s="16" r="J205" t="inlineStr">
        <x:is>
          <x:t xml:space="preserve">open</x:t>
        </x:is>
      </x:c>
      <x:c s="17" r="K205" t="inlineStr">
        <x:is>
          <x:t xml:space="preserve">https://huggingface.co/Qwen/Qwen2-1.5B</x:t>
        </x:is>
      </x:c>
      <x:c s="17" r="L205" t="inlineStr">
        <x:is>
          <x:t xml:space="preserve"/>
        </x:is>
      </x:c>
      <x:c s="14" r="M205" t="inlineStr">
        <x:is>
          <x:t xml:space="preserve">BF16/FP16</x:t>
        </x:is>
      </x:c>
      <x:c s="15" r="N205" t="n">
        <x:v>7.8</x:v>
      </x:c>
      <x:c s="14" r="O205" t="inlineStr">
        <x:is>
          <x:t xml:space="preserve">BF16/FP16</x:t>
        </x:is>
      </x:c>
      <x:c s="15" r="P205" t="n">
        <x:v>7.8</x:v>
      </x:c>
      <x:c s="14" r="Q205" t="inlineStr">
        <x:is>
          <x:t xml:space="preserve">Comfortable</x:t>
        </x:is>
      </x:c>
      <x:c s="18" r="R205" t="inlineStr">
        <x:is>
          <x:t xml:space="preserve"/>
        </x:is>
      </x:c>
      <x:c s="14" r="S205" t="inlineStr">
        <x:is>
          <x:t xml:space="preserve">current_family_page_2026-03-27</x:t>
        </x:is>
      </x:c>
      <x:c s="17" r="T205" t="inlineStr">
        <x:is>
          <x:t xml:space="preserve">https://huggingface.co/collections/Qwen/qwen2-6659361987f473a0f12f57e7</x:t>
        </x:is>
      </x:c>
      <x:c s="14" r="U205" t="inlineStr">
        <x:is>
          <x:t xml:space="preserve">Transformers; GGUF; AWQ/GPTQ</x:t>
        </x:is>
      </x:c>
      <x:c s="15" r="V205" t="n">
        <x:v>7.8</x:v>
      </x:c>
      <x:c s="15" r="W205" t="n">
        <x:v>5.9</x:v>
      </x:c>
      <x:c s="15" r="X205" t="n">
        <x:v>5.4</x:v>
      </x:c>
      <x:c s="15" r="Y205" t="n">
        <x:v>5.2</x:v>
      </x:c>
      <x:c s="15" r="Z205" t="n">
        <x:v>4.9</x:v>
      </x:c>
      <x:c s="15" r="AA205" t="n">
        <x:v>4.7</x:v>
      </x:c>
      <x:c s="15" r="AB205" t="n">
        <x:v>4.5</x:v>
      </x:c>
    </x:row>
    <x:row r="206">
      <x:c r="A206" t="inlineStr">
        <x:is>
          <x:t xml:space="preserve">Qwen</x:t>
        </x:is>
      </x:c>
      <x:c s="14" r="B206" t="inlineStr">
        <x:is>
          <x:t xml:space="preserve">Qwen/Qwen2-1.5B-Instruct</x:t>
        </x:is>
      </x:c>
      <x:c s="14" r="C206" t="inlineStr">
        <x:is>
          <x:t xml:space="preserve">Qwen2-1.5B-Instruct</x:t>
        </x:is>
      </x:c>
      <x:c s="15" r="D206" t="n">
        <x:v>1.5</x:v>
      </x:c>
      <x:c s="15" r="E206"/>
      <x:c s="14" r="F206" t="inlineStr">
        <x:is>
          <x:t xml:space="preserve">general chat</x:t>
        </x:is>
      </x:c>
      <x:c s="14" r="G206" t="inlineStr">
        <x:is>
          <x:t xml:space="preserve">text</x:t>
        </x:is>
      </x:c>
      <x:c r="H206" t="inlineStr">
        <x:is>
          <x:t xml:space="preserve">instruct</x:t>
        </x:is>
      </x:c>
      <x:c r="I206" t="inlineStr">
        <x:is>
          <x:t xml:space="preserve">Dense</x:t>
        </x:is>
      </x:c>
      <x:c s="16" r="J206" t="inlineStr">
        <x:is>
          <x:t xml:space="preserve">open</x:t>
        </x:is>
      </x:c>
      <x:c s="17" r="K206" t="inlineStr">
        <x:is>
          <x:t xml:space="preserve">https://huggingface.co/Qwen/Qwen2-1.5B-Instruct</x:t>
        </x:is>
      </x:c>
      <x:c s="17" r="L206" t="inlineStr">
        <x:is>
          <x:t xml:space="preserve"/>
        </x:is>
      </x:c>
      <x:c s="14" r="M206" t="inlineStr">
        <x:is>
          <x:t xml:space="preserve">BF16/FP16</x:t>
        </x:is>
      </x:c>
      <x:c s="15" r="N206" t="n">
        <x:v>7.8</x:v>
      </x:c>
      <x:c s="14" r="O206" t="inlineStr">
        <x:is>
          <x:t xml:space="preserve">BF16/FP16</x:t>
        </x:is>
      </x:c>
      <x:c s="15" r="P206" t="n">
        <x:v>7.8</x:v>
      </x:c>
      <x:c s="14" r="Q206" t="inlineStr">
        <x:is>
          <x:t xml:space="preserve">Comfortable</x:t>
        </x:is>
      </x:c>
      <x:c s="18" r="R206" t="inlineStr">
        <x:is>
          <x:t xml:space="preserve"/>
        </x:is>
      </x:c>
      <x:c s="14" r="S206" t="inlineStr">
        <x:is>
          <x:t xml:space="preserve">current_family_page_2026-03-27</x:t>
        </x:is>
      </x:c>
      <x:c s="17" r="T206" t="inlineStr">
        <x:is>
          <x:t xml:space="preserve">https://huggingface.co/collections/Qwen/qwen2-6659361987f473a0f12f57e7</x:t>
        </x:is>
      </x:c>
      <x:c s="14" r="U206" t="inlineStr">
        <x:is>
          <x:t xml:space="preserve">Transformers; GGUF; AWQ/GPTQ</x:t>
        </x:is>
      </x:c>
      <x:c s="15" r="V206" t="n">
        <x:v>7.8</x:v>
      </x:c>
      <x:c s="15" r="W206" t="n">
        <x:v>5.9</x:v>
      </x:c>
      <x:c s="15" r="X206" t="n">
        <x:v>5.4</x:v>
      </x:c>
      <x:c s="15" r="Y206" t="n">
        <x:v>5.2</x:v>
      </x:c>
      <x:c s="15" r="Z206" t="n">
        <x:v>4.9</x:v>
      </x:c>
      <x:c s="15" r="AA206" t="n">
        <x:v>4.7</x:v>
      </x:c>
      <x:c s="15" r="AB206" t="n">
        <x:v>4.5</x:v>
      </x:c>
    </x:row>
    <x:row r="207">
      <x:c r="A207" t="inlineStr">
        <x:is>
          <x:t xml:space="preserve">Qwen</x:t>
        </x:is>
      </x:c>
      <x:c s="14" r="B207" t="inlineStr">
        <x:is>
          <x:t xml:space="preserve">Qwen/Qwen2.5-1.5B</x:t>
        </x:is>
      </x:c>
      <x:c s="14" r="C207" t="inlineStr">
        <x:is>
          <x:t xml:space="preserve">Qwen2.5-1.5B</x:t>
        </x:is>
      </x:c>
      <x:c s="15" r="D207" t="n">
        <x:v>1.5</x:v>
      </x:c>
      <x:c s="15" r="E207"/>
      <x:c s="14" r="F207" t="inlineStr">
        <x:is>
          <x:t xml:space="preserve">general</x:t>
        </x:is>
      </x:c>
      <x:c s="14" r="G207" t="inlineStr">
        <x:is>
          <x:t xml:space="preserve">text</x:t>
        </x:is>
      </x:c>
      <x:c r="H207" t="inlineStr">
        <x:is>
          <x:t xml:space="preserve">base</x:t>
        </x:is>
      </x:c>
      <x:c r="I207" t="inlineStr">
        <x:is>
          <x:t xml:space="preserve">Dense</x:t>
        </x:is>
      </x:c>
      <x:c s="16" r="J207" t="inlineStr">
        <x:is>
          <x:t xml:space="preserve">open</x:t>
        </x:is>
      </x:c>
      <x:c s="17" r="K207" t="inlineStr">
        <x:is>
          <x:t xml:space="preserve">https://huggingface.co/Qwen/Qwen2.5-1.5B</x:t>
        </x:is>
      </x:c>
      <x:c s="17" r="L207" t="inlineStr">
        <x:is>
          <x:t xml:space="preserve"/>
        </x:is>
      </x:c>
      <x:c s="14" r="M207" t="inlineStr">
        <x:is>
          <x:t xml:space="preserve">BF16/FP16</x:t>
        </x:is>
      </x:c>
      <x:c s="15" r="N207" t="n">
        <x:v>7.8</x:v>
      </x:c>
      <x:c s="14" r="O207" t="inlineStr">
        <x:is>
          <x:t xml:space="preserve">BF16/FP16</x:t>
        </x:is>
      </x:c>
      <x:c s="15" r="P207" t="n">
        <x:v>7.8</x:v>
      </x:c>
      <x:c s="14" r="Q207" t="inlineStr">
        <x:is>
          <x:t xml:space="preserve">Comfortable</x:t>
        </x:is>
      </x:c>
      <x:c s="18" r="R207" t="inlineStr">
        <x:is>
          <x:t xml:space="preserve">Mainstream Qwen 2.5 family.</x:t>
        </x:is>
      </x:c>
      <x:c s="14" r="S207" t="inlineStr">
        <x:is>
          <x:t xml:space="preserve">current_family_page_2026-03-27</x:t>
        </x:is>
      </x:c>
      <x:c s="17" r="T207" t="inlineStr">
        <x:is>
          <x:t xml:space="preserve">https://huggingface.co/collections/Qwen/qwen25-66e81a666513e518adb90d9e</x:t>
        </x:is>
      </x:c>
      <x:c s="14" r="U207" t="inlineStr">
        <x:is>
          <x:t xml:space="preserve">Transformers; GGUF; AWQ/GPTQ</x:t>
        </x:is>
      </x:c>
      <x:c s="15" r="V207" t="n">
        <x:v>7.8</x:v>
      </x:c>
      <x:c s="15" r="W207" t="n">
        <x:v>5.9</x:v>
      </x:c>
      <x:c s="15" r="X207" t="n">
        <x:v>5.4</x:v>
      </x:c>
      <x:c s="15" r="Y207" t="n">
        <x:v>5.2</x:v>
      </x:c>
      <x:c s="15" r="Z207" t="n">
        <x:v>4.9</x:v>
      </x:c>
      <x:c s="15" r="AA207" t="n">
        <x:v>4.7</x:v>
      </x:c>
      <x:c s="15" r="AB207" t="n">
        <x:v>4.5</x:v>
      </x:c>
    </x:row>
    <x:row r="208">
      <x:c r="A208" t="inlineStr">
        <x:is>
          <x:t xml:space="preserve">Qwen</x:t>
        </x:is>
      </x:c>
      <x:c s="14" r="B208" t="inlineStr">
        <x:is>
          <x:t xml:space="preserve">Qwen/Qwen2.5-1.5B-Instruct</x:t>
        </x:is>
      </x:c>
      <x:c s="14" r="C208" t="inlineStr">
        <x:is>
          <x:t xml:space="preserve">Qwen2.5-1.5B-Instruct</x:t>
        </x:is>
      </x:c>
      <x:c s="15" r="D208" t="n">
        <x:v>1.5</x:v>
      </x:c>
      <x:c s="15" r="E208"/>
      <x:c s="14" r="F208" t="inlineStr">
        <x:is>
          <x:t xml:space="preserve">general chat</x:t>
        </x:is>
      </x:c>
      <x:c s="14" r="G208" t="inlineStr">
        <x:is>
          <x:t xml:space="preserve">text</x:t>
        </x:is>
      </x:c>
      <x:c r="H208" t="inlineStr">
        <x:is>
          <x:t xml:space="preserve">instruct</x:t>
        </x:is>
      </x:c>
      <x:c r="I208" t="inlineStr">
        <x:is>
          <x:t xml:space="preserve">Dense</x:t>
        </x:is>
      </x:c>
      <x:c s="16" r="J208" t="inlineStr">
        <x:is>
          <x:t xml:space="preserve">open</x:t>
        </x:is>
      </x:c>
      <x:c s="17" r="K208" t="inlineStr">
        <x:is>
          <x:t xml:space="preserve">https://huggingface.co/Qwen/Qwen2.5-1.5B-Instruct</x:t>
        </x:is>
      </x:c>
      <x:c s="17" r="L208" t="inlineStr">
        <x:is>
          <x:t xml:space="preserve">https://huggingface.co/Qwen/Qwen2.5-1.5B-Instruct-GGUF</x:t>
        </x:is>
      </x:c>
      <x:c s="14" r="M208" t="inlineStr">
        <x:is>
          <x:t xml:space="preserve">BF16/FP16</x:t>
        </x:is>
      </x:c>
      <x:c s="15" r="N208" t="n">
        <x:v>7.8</x:v>
      </x:c>
      <x:c s="14" r="O208" t="inlineStr">
        <x:is>
          <x:t xml:space="preserve">BF16/FP16</x:t>
        </x:is>
      </x:c>
      <x:c s="15" r="P208" t="n">
        <x:v>7.8</x:v>
      </x:c>
      <x:c s="14" r="Q208" t="inlineStr">
        <x:is>
          <x:t xml:space="preserve">Comfortable</x:t>
        </x:is>
      </x:c>
      <x:c s="18" r="R208" t="inlineStr">
        <x:is>
          <x:t xml:space="preserve">Mainstream Qwen 2.5 family.</x:t>
        </x:is>
      </x:c>
      <x:c s="14" r="S208" t="inlineStr">
        <x:is>
          <x:t xml:space="preserve">current_family_page_2026-03-27</x:t>
        </x:is>
      </x:c>
      <x:c s="17" r="T208" t="inlineStr">
        <x:is>
          <x:t xml:space="preserve">https://huggingface.co/collections/Qwen/qwen25-66e81a666513e518adb90d9e</x:t>
        </x:is>
      </x:c>
      <x:c s="14" r="U208" t="inlineStr">
        <x:is>
          <x:t xml:space="preserve">Transformers; GGUF; AWQ/GPTQ</x:t>
        </x:is>
      </x:c>
      <x:c s="15" r="V208" t="n">
        <x:v>7.8</x:v>
      </x:c>
      <x:c s="15" r="W208" t="n">
        <x:v>5.9</x:v>
      </x:c>
      <x:c s="15" r="X208" t="n">
        <x:v>5.4</x:v>
      </x:c>
      <x:c s="15" r="Y208" t="n">
        <x:v>5.2</x:v>
      </x:c>
      <x:c s="15" r="Z208" t="n">
        <x:v>4.9</x:v>
      </x:c>
      <x:c s="15" r="AA208" t="n">
        <x:v>4.7</x:v>
      </x:c>
      <x:c s="15" r="AB208" t="n">
        <x:v>4.5</x:v>
      </x:c>
    </x:row>
    <x:row r="209">
      <x:c r="A209" t="inlineStr">
        <x:is>
          <x:t xml:space="preserve">Qwen</x:t>
        </x:is>
      </x:c>
      <x:c s="14" r="B209" t="inlineStr">
        <x:is>
          <x:t xml:space="preserve">Qwen/Qwen2.5-Coder-1.5B</x:t>
        </x:is>
      </x:c>
      <x:c s="14" r="C209" t="inlineStr">
        <x:is>
          <x:t xml:space="preserve">Qwen2.5-Coder-1.5B</x:t>
        </x:is>
      </x:c>
      <x:c s="15" r="D209" t="n">
        <x:v>1.5</x:v>
      </x:c>
      <x:c s="15" r="E209"/>
      <x:c s="14" r="F209" t="inlineStr">
        <x:is>
          <x:t xml:space="preserve">coding</x:t>
        </x:is>
      </x:c>
      <x:c s="14" r="G209" t="inlineStr">
        <x:is>
          <x:t xml:space="preserve">text</x:t>
        </x:is>
      </x:c>
      <x:c r="H209" t="inlineStr">
        <x:is>
          <x:t xml:space="preserve">base</x:t>
        </x:is>
      </x:c>
      <x:c r="I209" t="inlineStr">
        <x:is>
          <x:t xml:space="preserve">Dense</x:t>
        </x:is>
      </x:c>
      <x:c s="16" r="J209" t="inlineStr">
        <x:is>
          <x:t xml:space="preserve">open</x:t>
        </x:is>
      </x:c>
      <x:c s="17" r="K209" t="inlineStr">
        <x:is>
          <x:t xml:space="preserve">https://huggingface.co/Qwen/Qwen2.5-Coder-1.5B</x:t>
        </x:is>
      </x:c>
      <x:c s="17" r="L209" t="inlineStr">
        <x:is>
          <x:t xml:space="preserve"/>
        </x:is>
      </x:c>
      <x:c s="14" r="M209" t="inlineStr">
        <x:is>
          <x:t xml:space="preserve">BF16/FP16</x:t>
        </x:is>
      </x:c>
      <x:c s="15" r="N209" t="n">
        <x:v>7.8</x:v>
      </x:c>
      <x:c s="14" r="O209" t="inlineStr">
        <x:is>
          <x:t xml:space="preserve">BF16/FP16</x:t>
        </x:is>
      </x:c>
      <x:c s="15" r="P209" t="n">
        <x:v>7.8</x:v>
      </x:c>
      <x:c s="14" r="Q209" t="inlineStr">
        <x:is>
          <x:t xml:space="preserve">Comfortable</x:t>
        </x:is>
      </x:c>
      <x:c s="18" r="R209" t="inlineStr">
        <x:is>
          <x:t xml:space="preserve">Code-specialized Qwen 2.5 family.</x:t>
        </x:is>
      </x:c>
      <x:c s="14" r="S209" t="inlineStr">
        <x:is>
          <x:t xml:space="preserve">current_family_page_2026-03-27</x:t>
        </x:is>
      </x:c>
      <x:c s="17" r="T209" t="inlineStr">
        <x:is>
          <x:t xml:space="preserve">https://huggingface.co/collections/Qwen/qwen25-coder-66f2e9e3bdbf8f6bcb2e315b</x:t>
        </x:is>
      </x:c>
      <x:c s="14" r="U209" t="inlineStr">
        <x:is>
          <x:t xml:space="preserve">Transformers; GGUF; AWQ/GPTQ</x:t>
        </x:is>
      </x:c>
      <x:c s="15" r="V209" t="n">
        <x:v>7.8</x:v>
      </x:c>
      <x:c s="15" r="W209" t="n">
        <x:v>5.9</x:v>
      </x:c>
      <x:c s="15" r="X209" t="n">
        <x:v>5.4</x:v>
      </x:c>
      <x:c s="15" r="Y209" t="n">
        <x:v>5.2</x:v>
      </x:c>
      <x:c s="15" r="Z209" t="n">
        <x:v>4.9</x:v>
      </x:c>
      <x:c s="15" r="AA209" t="n">
        <x:v>4.7</x:v>
      </x:c>
      <x:c s="15" r="AB209" t="n">
        <x:v>4.5</x:v>
      </x:c>
    </x:row>
    <x:row r="210">
      <x:c r="A210" t="inlineStr">
        <x:is>
          <x:t xml:space="preserve">Qwen</x:t>
        </x:is>
      </x:c>
      <x:c s="14" r="B210" t="inlineStr">
        <x:is>
          <x:t xml:space="preserve">Qwen/Qwen2.5-Coder-1.5B-Instruct</x:t>
        </x:is>
      </x:c>
      <x:c s="14" r="C210" t="inlineStr">
        <x:is>
          <x:t xml:space="preserve">Qwen2.5-Coder-1.5B-Instruct</x:t>
        </x:is>
      </x:c>
      <x:c s="15" r="D210" t="n">
        <x:v>1.5</x:v>
      </x:c>
      <x:c s="15" r="E210"/>
      <x:c s="14" r="F210" t="inlineStr">
        <x:is>
          <x:t xml:space="preserve">coding chat</x:t>
        </x:is>
      </x:c>
      <x:c s="14" r="G210" t="inlineStr">
        <x:is>
          <x:t xml:space="preserve">text</x:t>
        </x:is>
      </x:c>
      <x:c r="H210" t="inlineStr">
        <x:is>
          <x:t xml:space="preserve">instruct</x:t>
        </x:is>
      </x:c>
      <x:c r="I210" t="inlineStr">
        <x:is>
          <x:t xml:space="preserve">Dense</x:t>
        </x:is>
      </x:c>
      <x:c s="16" r="J210" t="inlineStr">
        <x:is>
          <x:t xml:space="preserve">open</x:t>
        </x:is>
      </x:c>
      <x:c s="17" r="K210" t="inlineStr">
        <x:is>
          <x:t xml:space="preserve">https://huggingface.co/Qwen/Qwen2.5-Coder-1.5B-Instruct</x:t>
        </x:is>
      </x:c>
      <x:c s="17" r="L210" t="inlineStr">
        <x:is>
          <x:t xml:space="preserve">https://huggingface.co/Qwen/Qwen2.5-Coder-1.5B-Instruct-GGUF</x:t>
        </x:is>
      </x:c>
      <x:c s="14" r="M210" t="inlineStr">
        <x:is>
          <x:t xml:space="preserve">BF16/FP16</x:t>
        </x:is>
      </x:c>
      <x:c s="15" r="N210" t="n">
        <x:v>7.8</x:v>
      </x:c>
      <x:c s="14" r="O210" t="inlineStr">
        <x:is>
          <x:t xml:space="preserve">BF16/FP16</x:t>
        </x:is>
      </x:c>
      <x:c s="15" r="P210" t="n">
        <x:v>7.8</x:v>
      </x:c>
      <x:c s="14" r="Q210" t="inlineStr">
        <x:is>
          <x:t xml:space="preserve">Comfortable</x:t>
        </x:is>
      </x:c>
      <x:c s="18" r="R210" t="inlineStr">
        <x:is>
          <x:t xml:space="preserve">Code-specialized Qwen 2.5 family.</x:t>
        </x:is>
      </x:c>
      <x:c s="14" r="S210" t="inlineStr">
        <x:is>
          <x:t xml:space="preserve">current_family_page_2026-03-27</x:t>
        </x:is>
      </x:c>
      <x:c s="17" r="T210" t="inlineStr">
        <x:is>
          <x:t xml:space="preserve">https://huggingface.co/collections/Qwen/qwen25-coder-66f2e9e3bdbf8f6bcb2e315b</x:t>
        </x:is>
      </x:c>
      <x:c s="14" r="U210" t="inlineStr">
        <x:is>
          <x:t xml:space="preserve">Transformers; GGUF; AWQ/GPTQ</x:t>
        </x:is>
      </x:c>
      <x:c s="15" r="V210" t="n">
        <x:v>7.8</x:v>
      </x:c>
      <x:c s="15" r="W210" t="n">
        <x:v>5.9</x:v>
      </x:c>
      <x:c s="15" r="X210" t="n">
        <x:v>5.4</x:v>
      </x:c>
      <x:c s="15" r="Y210" t="n">
        <x:v>5.2</x:v>
      </x:c>
      <x:c s="15" r="Z210" t="n">
        <x:v>4.9</x:v>
      </x:c>
      <x:c s="15" r="AA210" t="n">
        <x:v>4.7</x:v>
      </x:c>
      <x:c s="15" r="AB210" t="n">
        <x:v>4.5</x:v>
      </x:c>
    </x:row>
    <x:row r="211">
      <x:c r="A211" t="inlineStr">
        <x:is>
          <x:t xml:space="preserve">Qwen</x:t>
        </x:is>
      </x:c>
      <x:c s="14" r="B211" t="inlineStr">
        <x:is>
          <x:t xml:space="preserve">Qwen/Qwen3.5-0.8B</x:t>
        </x:is>
      </x:c>
      <x:c s="14" r="C211" t="inlineStr">
        <x:is>
          <x:t xml:space="preserve">Qwen3.5-0.8B</x:t>
        </x:is>
      </x:c>
      <x:c s="15" r="D211" t="n">
        <x:v>0.8</x:v>
      </x:c>
      <x:c s="15" r="E211"/>
      <x:c s="14" r="F211" t="inlineStr">
        <x:is>
          <x:t xml:space="preserve">multimodal</x:t>
        </x:is>
      </x:c>
      <x:c s="14" r="G211" t="inlineStr">
        <x:is>
          <x:t xml:space="preserve">text+vision</x:t>
        </x:is>
      </x:c>
      <x:c r="H211" t="inlineStr">
        <x:is>
          <x:t xml:space="preserve">multimodal</x:t>
        </x:is>
      </x:c>
      <x:c r="I211" t="inlineStr">
        <x:is>
          <x:t xml:space="preserve">Dense</x:t>
        </x:is>
      </x:c>
      <x:c s="16" r="J211" t="inlineStr">
        <x:is>
          <x:t xml:space="preserve">open</x:t>
        </x:is>
      </x:c>
      <x:c s="17" r="K211" t="inlineStr">
        <x:is>
          <x:t xml:space="preserve">https://huggingface.co/Qwen/Qwen3.5-0.8B</x:t>
        </x:is>
      </x:c>
      <x:c s="17" r="L211" t="inlineStr">
        <x:is>
          <x:t xml:space="preserve"/>
        </x:is>
      </x:c>
      <x:c s="14" r="M211" t="inlineStr">
        <x:is>
          <x:t xml:space="preserve">BF16/FP16</x:t>
        </x:is>
      </x:c>
      <x:c s="15" r="N211" t="n">
        <x:v>6</x:v>
      </x:c>
      <x:c s="14" r="O211" t="inlineStr">
        <x:is>
          <x:t xml:space="preserve">BF16/FP16</x:t>
        </x:is>
      </x:c>
      <x:c s="15" r="P211" t="n">
        <x:v>6</x:v>
      </x:c>
      <x:c s="14" r="Q211" t="inlineStr">
        <x:is>
          <x:t xml:space="preserve">Comfortable</x:t>
        </x:is>
      </x:c>
      <x:c s="18" r="R211" t="inlineStr">
        <x:is>
          <x:t xml:space="preserve">Qwen3.5 multimodal family.</x:t>
        </x:is>
      </x:c>
      <x:c s="14" r="S211" t="inlineStr">
        <x:is>
          <x:t xml:space="preserve">current_org_page_2026-03-27</x:t>
        </x:is>
      </x:c>
      <x:c s="17" r="T211" t="inlineStr">
        <x:is>
          <x:t xml:space="preserve">https://huggingface.co/Qwen</x:t>
        </x:is>
      </x:c>
      <x:c s="14" r="U211" t="inlineStr">
        <x:is>
          <x:t xml:space="preserve">Transformers; GGUF; AWQ/GPTQ</x:t>
        </x:is>
      </x:c>
      <x:c s="15" r="V211" t="n">
        <x:v>6</x:v>
      </x:c>
      <x:c s="15" r="W211" t="n">
        <x:v>5</x:v>
      </x:c>
      <x:c s="15" r="X211" t="n">
        <x:v>4.8</x:v>
      </x:c>
      <x:c s="15" r="Y211" t="n">
        <x:v>4.6</x:v>
      </x:c>
      <x:c s="15" r="Z211" t="n">
        <x:v>4.5</x:v>
      </x:c>
      <x:c s="15" r="AA211" t="n">
        <x:v>4.4</x:v>
      </x:c>
      <x:c s="15" r="AB211" t="n">
        <x:v>4.3</x:v>
      </x:c>
    </x:row>
    <x:row r="212">
      <x:c r="A212" t="inlineStr">
        <x:is>
          <x:t xml:space="preserve">Qwen</x:t>
        </x:is>
      </x:c>
      <x:c s="14" r="B212" t="inlineStr">
        <x:is>
          <x:t xml:space="preserve">Qwen/Qwen3-0.6B</x:t>
        </x:is>
      </x:c>
      <x:c s="14" r="C212" t="inlineStr">
        <x:is>
          <x:t xml:space="preserve">Qwen3-0.6B</x:t>
        </x:is>
      </x:c>
      <x:c s="15" r="D212" t="n">
        <x:v>0.6</x:v>
      </x:c>
      <x:c s="15" r="E212"/>
      <x:c s="14" r="F212" t="inlineStr">
        <x:is>
          <x:t xml:space="preserve">general / reasoning dual-mode</x:t>
        </x:is>
      </x:c>
      <x:c s="14" r="G212" t="inlineStr">
        <x:is>
          <x:t xml:space="preserve">text</x:t>
        </x:is>
      </x:c>
      <x:c r="H212" t="inlineStr">
        <x:is>
          <x:t xml:space="preserve">dual-mode</x:t>
        </x:is>
      </x:c>
      <x:c r="I212" t="inlineStr">
        <x:is>
          <x:t xml:space="preserve">Dense</x:t>
        </x:is>
      </x:c>
      <x:c s="16" r="J212" t="inlineStr">
        <x:is>
          <x:t xml:space="preserve">open</x:t>
        </x:is>
      </x:c>
      <x:c s="17" r="K212" t="inlineStr">
        <x:is>
          <x:t xml:space="preserve">https://huggingface.co/Qwen/Qwen3-0.6B</x:t>
        </x:is>
      </x:c>
      <x:c s="17" r="L212" t="inlineStr">
        <x:is>
          <x:t xml:space="preserve"/>
        </x:is>
      </x:c>
      <x:c s="14" r="M212" t="inlineStr">
        <x:is>
          <x:t xml:space="preserve">BF16/FP16</x:t>
        </x:is>
      </x:c>
      <x:c s="15" r="N212" t="n">
        <x:v>5.5</x:v>
      </x:c>
      <x:c s="14" r="O212" t="inlineStr">
        <x:is>
          <x:t xml:space="preserve">BF16/FP16</x:t>
        </x:is>
      </x:c>
      <x:c s="15" r="P212" t="n">
        <x:v>5.5</x:v>
      </x:c>
      <x:c s="14" r="Q212" t="inlineStr">
        <x:is>
          <x:t xml:space="preserve">Comfortable</x:t>
        </x:is>
      </x:c>
      <x:c s="18" r="R212" t="inlineStr">
        <x:is>
          <x:t xml:space="preserve">Qwen3 dense family supports thinking and non-thinking modes.</x:t>
        </x:is>
      </x:c>
      <x:c s="14" r="S212" t="inlineStr">
        <x:is>
          <x:t xml:space="preserve">current_repo_page_2026-03-27</x:t>
        </x:is>
      </x:c>
      <x:c s="17" r="T212" t="inlineStr">
        <x:is>
          <x:t xml:space="preserve">https://huggingface.co/Qwen/Qwen3-32B</x:t>
        </x:is>
      </x:c>
      <x:c s="14" r="U212" t="inlineStr">
        <x:is>
          <x:t xml:space="preserve">Transformers; GGUF; AWQ/GPTQ</x:t>
        </x:is>
      </x:c>
      <x:c s="15" r="V212" t="n">
        <x:v>5.5</x:v>
      </x:c>
      <x:c s="15" r="W212" t="n">
        <x:v>4.8</x:v>
      </x:c>
      <x:c s="15" r="X212" t="n">
        <x:v>4.6</x:v>
      </x:c>
      <x:c s="15" r="Y212" t="n">
        <x:v>4.5</x:v>
      </x:c>
      <x:c s="15" r="Z212" t="n">
        <x:v>4.4</x:v>
      </x:c>
      <x:c s="15" r="AA212" t="n">
        <x:v>4.3</x:v>
      </x:c>
      <x:c s="15" r="AB212" t="n">
        <x:v>4.2</x:v>
      </x:c>
    </x:row>
    <x:row r="213">
      <x:c r="A213" t="inlineStr">
        <x:is>
          <x:t xml:space="preserve">Qwen</x:t>
        </x:is>
      </x:c>
      <x:c s="14" r="B213" t="inlineStr">
        <x:is>
          <x:t xml:space="preserve">Qwen/Qwen2-0.5B</x:t>
        </x:is>
      </x:c>
      <x:c s="14" r="C213" t="inlineStr">
        <x:is>
          <x:t xml:space="preserve">Qwen2-0.5B</x:t>
        </x:is>
      </x:c>
      <x:c s="15" r="D213" t="n">
        <x:v>0.5</x:v>
      </x:c>
      <x:c s="15" r="E213"/>
      <x:c s="14" r="F213" t="inlineStr">
        <x:is>
          <x:t xml:space="preserve">general</x:t>
        </x:is>
      </x:c>
      <x:c s="14" r="G213" t="inlineStr">
        <x:is>
          <x:t xml:space="preserve">text</x:t>
        </x:is>
      </x:c>
      <x:c r="H213" t="inlineStr">
        <x:is>
          <x:t xml:space="preserve">base</x:t>
        </x:is>
      </x:c>
      <x:c r="I213" t="inlineStr">
        <x:is>
          <x:t xml:space="preserve">Dense</x:t>
        </x:is>
      </x:c>
      <x:c s="16" r="J213" t="inlineStr">
        <x:is>
          <x:t xml:space="preserve">open</x:t>
        </x:is>
      </x:c>
      <x:c s="17" r="K213" t="inlineStr">
        <x:is>
          <x:t xml:space="preserve">https://huggingface.co/Qwen/Qwen2-0.5B</x:t>
        </x:is>
      </x:c>
      <x:c s="17" r="L213" t="inlineStr">
        <x:is>
          <x:t xml:space="preserve"/>
        </x:is>
      </x:c>
      <x:c s="14" r="M213" t="inlineStr">
        <x:is>
          <x:t xml:space="preserve">BF16/FP16</x:t>
        </x:is>
      </x:c>
      <x:c s="15" r="N213" t="n">
        <x:v>5.3</x:v>
      </x:c>
      <x:c s="14" r="O213" t="inlineStr">
        <x:is>
          <x:t xml:space="preserve">BF16/FP16</x:t>
        </x:is>
      </x:c>
      <x:c s="15" r="P213" t="n">
        <x:v>5.3</x:v>
      </x:c>
      <x:c s="14" r="Q213" t="inlineStr">
        <x:is>
          <x:t xml:space="preserve">Comfortable</x:t>
        </x:is>
      </x:c>
      <x:c s="18" r="R213" t="inlineStr">
        <x:is>
          <x:t xml:space="preserve"/>
        </x:is>
      </x:c>
      <x:c s="14" r="S213" t="inlineStr">
        <x:is>
          <x:t xml:space="preserve">current_family_page_2026-03-27</x:t>
        </x:is>
      </x:c>
      <x:c s="17" r="T213" t="inlineStr">
        <x:is>
          <x:t xml:space="preserve">https://huggingface.co/collections/Qwen/qwen2-6659361987f473a0f12f57e7</x:t>
        </x:is>
      </x:c>
      <x:c s="14" r="U213" t="inlineStr">
        <x:is>
          <x:t xml:space="preserve">Transformers; GGUF; AWQ/GPTQ</x:t>
        </x:is>
      </x:c>
      <x:c s="15" r="V213" t="n">
        <x:v>5.3</x:v>
      </x:c>
      <x:c s="15" r="W213" t="n">
        <x:v>4.6</x:v>
      </x:c>
      <x:c s="15" r="X213" t="n">
        <x:v>4.5</x:v>
      </x:c>
      <x:c s="15" r="Y213" t="n">
        <x:v>4.4</x:v>
      </x:c>
      <x:c s="15" r="Z213" t="n">
        <x:v>4.3</x:v>
      </x:c>
      <x:c s="15" r="AA213" t="n">
        <x:v>4.2</x:v>
      </x:c>
      <x:c s="15" r="AB213" t="n">
        <x:v>4.2</x:v>
      </x:c>
    </x:row>
    <x:row r="214">
      <x:c r="A214" t="inlineStr">
        <x:is>
          <x:t xml:space="preserve">Qwen</x:t>
        </x:is>
      </x:c>
      <x:c s="14" r="B214" t="inlineStr">
        <x:is>
          <x:t xml:space="preserve">Qwen/Qwen2-0.5B-Instruct</x:t>
        </x:is>
      </x:c>
      <x:c s="14" r="C214" t="inlineStr">
        <x:is>
          <x:t xml:space="preserve">Qwen2-0.5B-Instruct</x:t>
        </x:is>
      </x:c>
      <x:c s="15" r="D214" t="n">
        <x:v>0.5</x:v>
      </x:c>
      <x:c s="15" r="E214"/>
      <x:c s="14" r="F214" t="inlineStr">
        <x:is>
          <x:t xml:space="preserve">general chat</x:t>
        </x:is>
      </x:c>
      <x:c s="14" r="G214" t="inlineStr">
        <x:is>
          <x:t xml:space="preserve">text</x:t>
        </x:is>
      </x:c>
      <x:c r="H214" t="inlineStr">
        <x:is>
          <x:t xml:space="preserve">instruct</x:t>
        </x:is>
      </x:c>
      <x:c r="I214" t="inlineStr">
        <x:is>
          <x:t xml:space="preserve">Dense</x:t>
        </x:is>
      </x:c>
      <x:c s="16" r="J214" t="inlineStr">
        <x:is>
          <x:t xml:space="preserve">open</x:t>
        </x:is>
      </x:c>
      <x:c s="17" r="K214" t="inlineStr">
        <x:is>
          <x:t xml:space="preserve">https://huggingface.co/Qwen/Qwen2-0.5B-Instruct</x:t>
        </x:is>
      </x:c>
      <x:c s="17" r="L214" t="inlineStr">
        <x:is>
          <x:t xml:space="preserve"/>
        </x:is>
      </x:c>
      <x:c s="14" r="M214" t="inlineStr">
        <x:is>
          <x:t xml:space="preserve">BF16/FP16</x:t>
        </x:is>
      </x:c>
      <x:c s="15" r="N214" t="n">
        <x:v>5.3</x:v>
      </x:c>
      <x:c s="14" r="O214" t="inlineStr">
        <x:is>
          <x:t xml:space="preserve">BF16/FP16</x:t>
        </x:is>
      </x:c>
      <x:c s="15" r="P214" t="n">
        <x:v>5.3</x:v>
      </x:c>
      <x:c s="14" r="Q214" t="inlineStr">
        <x:is>
          <x:t xml:space="preserve">Comfortable</x:t>
        </x:is>
      </x:c>
      <x:c s="18" r="R214" t="inlineStr">
        <x:is>
          <x:t xml:space="preserve"/>
        </x:is>
      </x:c>
      <x:c s="14" r="S214" t="inlineStr">
        <x:is>
          <x:t xml:space="preserve">current_family_page_2026-03-27</x:t>
        </x:is>
      </x:c>
      <x:c s="17" r="T214" t="inlineStr">
        <x:is>
          <x:t xml:space="preserve">https://huggingface.co/collections/Qwen/qwen2-6659361987f473a0f12f57e7</x:t>
        </x:is>
      </x:c>
      <x:c s="14" r="U214" t="inlineStr">
        <x:is>
          <x:t xml:space="preserve">Transformers; GGUF; AWQ/GPTQ</x:t>
        </x:is>
      </x:c>
      <x:c s="15" r="V214" t="n">
        <x:v>5.3</x:v>
      </x:c>
      <x:c s="15" r="W214" t="n">
        <x:v>4.6</x:v>
      </x:c>
      <x:c s="15" r="X214" t="n">
        <x:v>4.5</x:v>
      </x:c>
      <x:c s="15" r="Y214" t="n">
        <x:v>4.4</x:v>
      </x:c>
      <x:c s="15" r="Z214" t="n">
        <x:v>4.3</x:v>
      </x:c>
      <x:c s="15" r="AA214" t="n">
        <x:v>4.2</x:v>
      </x:c>
      <x:c s="15" r="AB214" t="n">
        <x:v>4.2</x:v>
      </x:c>
    </x:row>
    <x:row r="215">
      <x:c r="A215" t="inlineStr">
        <x:is>
          <x:t xml:space="preserve">Qwen</x:t>
        </x:is>
      </x:c>
      <x:c s="14" r="B215" t="inlineStr">
        <x:is>
          <x:t xml:space="preserve">Qwen/Qwen2.5-0.5B</x:t>
        </x:is>
      </x:c>
      <x:c s="14" r="C215" t="inlineStr">
        <x:is>
          <x:t xml:space="preserve">Qwen2.5-0.5B</x:t>
        </x:is>
      </x:c>
      <x:c s="15" r="D215" t="n">
        <x:v>0.5</x:v>
      </x:c>
      <x:c s="15" r="E215"/>
      <x:c s="14" r="F215" t="inlineStr">
        <x:is>
          <x:t xml:space="preserve">general</x:t>
        </x:is>
      </x:c>
      <x:c s="14" r="G215" t="inlineStr">
        <x:is>
          <x:t xml:space="preserve">text</x:t>
        </x:is>
      </x:c>
      <x:c r="H215" t="inlineStr">
        <x:is>
          <x:t xml:space="preserve">base</x:t>
        </x:is>
      </x:c>
      <x:c r="I215" t="inlineStr">
        <x:is>
          <x:t xml:space="preserve">Dense</x:t>
        </x:is>
      </x:c>
      <x:c s="16" r="J215" t="inlineStr">
        <x:is>
          <x:t xml:space="preserve">open</x:t>
        </x:is>
      </x:c>
      <x:c s="17" r="K215" t="inlineStr">
        <x:is>
          <x:t xml:space="preserve">https://huggingface.co/Qwen/Qwen2.5-0.5B</x:t>
        </x:is>
      </x:c>
      <x:c s="17" r="L215" t="inlineStr">
        <x:is>
          <x:t xml:space="preserve"/>
        </x:is>
      </x:c>
      <x:c s="14" r="M215" t="inlineStr">
        <x:is>
          <x:t xml:space="preserve">BF16/FP16</x:t>
        </x:is>
      </x:c>
      <x:c s="15" r="N215" t="n">
        <x:v>5.3</x:v>
      </x:c>
      <x:c s="14" r="O215" t="inlineStr">
        <x:is>
          <x:t xml:space="preserve">BF16/FP16</x:t>
        </x:is>
      </x:c>
      <x:c s="15" r="P215" t="n">
        <x:v>5.3</x:v>
      </x:c>
      <x:c s="14" r="Q215" t="inlineStr">
        <x:is>
          <x:t xml:space="preserve">Comfortable</x:t>
        </x:is>
      </x:c>
      <x:c s="18" r="R215" t="inlineStr">
        <x:is>
          <x:t xml:space="preserve">Mainstream Qwen 2.5 family.</x:t>
        </x:is>
      </x:c>
      <x:c s="14" r="S215" t="inlineStr">
        <x:is>
          <x:t xml:space="preserve">current_family_page_2026-03-27</x:t>
        </x:is>
      </x:c>
      <x:c s="17" r="T215" t="inlineStr">
        <x:is>
          <x:t xml:space="preserve">https://huggingface.co/collections/Qwen/qwen25-66e81a666513e518adb90d9e</x:t>
        </x:is>
      </x:c>
      <x:c s="14" r="U215" t="inlineStr">
        <x:is>
          <x:t xml:space="preserve">Transformers; GGUF; AWQ/GPTQ</x:t>
        </x:is>
      </x:c>
      <x:c s="15" r="V215" t="n">
        <x:v>5.3</x:v>
      </x:c>
      <x:c s="15" r="W215" t="n">
        <x:v>4.6</x:v>
      </x:c>
      <x:c s="15" r="X215" t="n">
        <x:v>4.5</x:v>
      </x:c>
      <x:c s="15" r="Y215" t="n">
        <x:v>4.4</x:v>
      </x:c>
      <x:c s="15" r="Z215" t="n">
        <x:v>4.3</x:v>
      </x:c>
      <x:c s="15" r="AA215" t="n">
        <x:v>4.2</x:v>
      </x:c>
      <x:c s="15" r="AB215" t="n">
        <x:v>4.2</x:v>
      </x:c>
    </x:row>
    <x:row r="216">
      <x:c r="A216" t="inlineStr">
        <x:is>
          <x:t xml:space="preserve">Qwen</x:t>
        </x:is>
      </x:c>
      <x:c s="14" r="B216" t="inlineStr">
        <x:is>
          <x:t xml:space="preserve">Qwen/Qwen2.5-0.5B-Instruct</x:t>
        </x:is>
      </x:c>
      <x:c s="14" r="C216" t="inlineStr">
        <x:is>
          <x:t xml:space="preserve">Qwen2.5-0.5B-Instruct</x:t>
        </x:is>
      </x:c>
      <x:c s="15" r="D216" t="n">
        <x:v>0.5</x:v>
      </x:c>
      <x:c s="15" r="E216"/>
      <x:c s="14" r="F216" t="inlineStr">
        <x:is>
          <x:t xml:space="preserve">general chat</x:t>
        </x:is>
      </x:c>
      <x:c s="14" r="G216" t="inlineStr">
        <x:is>
          <x:t xml:space="preserve">text</x:t>
        </x:is>
      </x:c>
      <x:c r="H216" t="inlineStr">
        <x:is>
          <x:t xml:space="preserve">instruct</x:t>
        </x:is>
      </x:c>
      <x:c r="I216" t="inlineStr">
        <x:is>
          <x:t xml:space="preserve">Dense</x:t>
        </x:is>
      </x:c>
      <x:c s="16" r="J216" t="inlineStr">
        <x:is>
          <x:t xml:space="preserve">open</x:t>
        </x:is>
      </x:c>
      <x:c s="17" r="K216" t="inlineStr">
        <x:is>
          <x:t xml:space="preserve">https://huggingface.co/Qwen/Qwen2.5-0.5B-Instruct</x:t>
        </x:is>
      </x:c>
      <x:c s="17" r="L216" t="inlineStr">
        <x:is>
          <x:t xml:space="preserve">https://huggingface.co/Qwen/Qwen2.5-0.5B-Instruct-GGUF</x:t>
        </x:is>
      </x:c>
      <x:c s="14" r="M216" t="inlineStr">
        <x:is>
          <x:t xml:space="preserve">BF16/FP16</x:t>
        </x:is>
      </x:c>
      <x:c s="15" r="N216" t="n">
        <x:v>5.3</x:v>
      </x:c>
      <x:c s="14" r="O216" t="inlineStr">
        <x:is>
          <x:t xml:space="preserve">BF16/FP16</x:t>
        </x:is>
      </x:c>
      <x:c s="15" r="P216" t="n">
        <x:v>5.3</x:v>
      </x:c>
      <x:c s="14" r="Q216" t="inlineStr">
        <x:is>
          <x:t xml:space="preserve">Comfortable</x:t>
        </x:is>
      </x:c>
      <x:c s="18" r="R216" t="inlineStr">
        <x:is>
          <x:t xml:space="preserve">Mainstream Qwen 2.5 family.</x:t>
        </x:is>
      </x:c>
      <x:c s="14" r="S216" t="inlineStr">
        <x:is>
          <x:t xml:space="preserve">current_family_page_2026-03-27</x:t>
        </x:is>
      </x:c>
      <x:c s="17" r="T216" t="inlineStr">
        <x:is>
          <x:t xml:space="preserve">https://huggingface.co/collections/Qwen/qwen25-66e81a666513e518adb90d9e</x:t>
        </x:is>
      </x:c>
      <x:c s="14" r="U216" t="inlineStr">
        <x:is>
          <x:t xml:space="preserve">Transformers; GGUF; AWQ/GPTQ</x:t>
        </x:is>
      </x:c>
      <x:c s="15" r="V216" t="n">
        <x:v>5.3</x:v>
      </x:c>
      <x:c s="15" r="W216" t="n">
        <x:v>4.6</x:v>
      </x:c>
      <x:c s="15" r="X216" t="n">
        <x:v>4.5</x:v>
      </x:c>
      <x:c s="15" r="Y216" t="n">
        <x:v>4.4</x:v>
      </x:c>
      <x:c s="15" r="Z216" t="n">
        <x:v>4.3</x:v>
      </x:c>
      <x:c s="15" r="AA216" t="n">
        <x:v>4.2</x:v>
      </x:c>
      <x:c s="15" r="AB216" t="n">
        <x:v>4.2</x:v>
      </x:c>
    </x:row>
    <x:row r="217">
      <x:c r="A217" t="inlineStr">
        <x:is>
          <x:t xml:space="preserve">Qwen</x:t>
        </x:is>
      </x:c>
      <x:c s="14" r="B217" t="inlineStr">
        <x:is>
          <x:t xml:space="preserve">Qwen/Qwen2.5-Coder-0.5B</x:t>
        </x:is>
      </x:c>
      <x:c s="14" r="C217" t="inlineStr">
        <x:is>
          <x:t xml:space="preserve">Qwen2.5-Coder-0.5B</x:t>
        </x:is>
      </x:c>
      <x:c s="15" r="D217" t="n">
        <x:v>0.5</x:v>
      </x:c>
      <x:c s="15" r="E217"/>
      <x:c s="14" r="F217" t="inlineStr">
        <x:is>
          <x:t xml:space="preserve">coding</x:t>
        </x:is>
      </x:c>
      <x:c s="14" r="G217" t="inlineStr">
        <x:is>
          <x:t xml:space="preserve">text</x:t>
        </x:is>
      </x:c>
      <x:c r="H217" t="inlineStr">
        <x:is>
          <x:t xml:space="preserve">base</x:t>
        </x:is>
      </x:c>
      <x:c r="I217" t="inlineStr">
        <x:is>
          <x:t xml:space="preserve">Dense</x:t>
        </x:is>
      </x:c>
      <x:c s="16" r="J217" t="inlineStr">
        <x:is>
          <x:t xml:space="preserve">open</x:t>
        </x:is>
      </x:c>
      <x:c s="17" r="K217" t="inlineStr">
        <x:is>
          <x:t xml:space="preserve">https://huggingface.co/Qwen/Qwen2.5-Coder-0.5B</x:t>
        </x:is>
      </x:c>
      <x:c s="17" r="L217" t="inlineStr">
        <x:is>
          <x:t xml:space="preserve"/>
        </x:is>
      </x:c>
      <x:c s="14" r="M217" t="inlineStr">
        <x:is>
          <x:t xml:space="preserve">BF16/FP16</x:t>
        </x:is>
      </x:c>
      <x:c s="15" r="N217" t="n">
        <x:v>5.3</x:v>
      </x:c>
      <x:c s="14" r="O217" t="inlineStr">
        <x:is>
          <x:t xml:space="preserve">BF16/FP16</x:t>
        </x:is>
      </x:c>
      <x:c s="15" r="P217" t="n">
        <x:v>5.3</x:v>
      </x:c>
      <x:c s="14" r="Q217" t="inlineStr">
        <x:is>
          <x:t xml:space="preserve">Comfortable</x:t>
        </x:is>
      </x:c>
      <x:c s="18" r="R217" t="inlineStr">
        <x:is>
          <x:t xml:space="preserve">Code-specialized Qwen 2.5 family.</x:t>
        </x:is>
      </x:c>
      <x:c s="14" r="S217" t="inlineStr">
        <x:is>
          <x:t xml:space="preserve">current_family_page_2026-03-27</x:t>
        </x:is>
      </x:c>
      <x:c s="17" r="T217" t="inlineStr">
        <x:is>
          <x:t xml:space="preserve">https://huggingface.co/collections/Qwen/qwen25-coder-66f2e9e3bdbf8f6bcb2e315b</x:t>
        </x:is>
      </x:c>
      <x:c s="14" r="U217" t="inlineStr">
        <x:is>
          <x:t xml:space="preserve">Transformers; GGUF; AWQ/GPTQ</x:t>
        </x:is>
      </x:c>
      <x:c s="15" r="V217" t="n">
        <x:v>5.3</x:v>
      </x:c>
      <x:c s="15" r="W217" t="n">
        <x:v>4.6</x:v>
      </x:c>
      <x:c s="15" r="X217" t="n">
        <x:v>4.5</x:v>
      </x:c>
      <x:c s="15" r="Y217" t="n">
        <x:v>4.4</x:v>
      </x:c>
      <x:c s="15" r="Z217" t="n">
        <x:v>4.3</x:v>
      </x:c>
      <x:c s="15" r="AA217" t="n">
        <x:v>4.2</x:v>
      </x:c>
      <x:c s="15" r="AB217" t="n">
        <x:v>4.2</x:v>
      </x:c>
    </x:row>
    <x:row r="218">
      <x:c r="A218" t="inlineStr">
        <x:is>
          <x:t xml:space="preserve">Qwen</x:t>
        </x:is>
      </x:c>
      <x:c s="14" r="B218" t="inlineStr">
        <x:is>
          <x:t xml:space="preserve">Qwen/Qwen2.5-Coder-0.5B-Instruct</x:t>
        </x:is>
      </x:c>
      <x:c s="14" r="C218" t="inlineStr">
        <x:is>
          <x:t xml:space="preserve">Qwen2.5-Coder-0.5B-Instruct</x:t>
        </x:is>
      </x:c>
      <x:c s="15" r="D218" t="n">
        <x:v>0.5</x:v>
      </x:c>
      <x:c s="15" r="E218"/>
      <x:c s="14" r="F218" t="inlineStr">
        <x:is>
          <x:t xml:space="preserve">coding chat</x:t>
        </x:is>
      </x:c>
      <x:c s="14" r="G218" t="inlineStr">
        <x:is>
          <x:t xml:space="preserve">text</x:t>
        </x:is>
      </x:c>
      <x:c r="H218" t="inlineStr">
        <x:is>
          <x:t xml:space="preserve">instruct</x:t>
        </x:is>
      </x:c>
      <x:c r="I218" t="inlineStr">
        <x:is>
          <x:t xml:space="preserve">Dense</x:t>
        </x:is>
      </x:c>
      <x:c s="16" r="J218" t="inlineStr">
        <x:is>
          <x:t xml:space="preserve">open</x:t>
        </x:is>
      </x:c>
      <x:c s="17" r="K218" t="inlineStr">
        <x:is>
          <x:t xml:space="preserve">https://huggingface.co/Qwen/Qwen2.5-Coder-0.5B-Instruct</x:t>
        </x:is>
      </x:c>
      <x:c s="17" r="L218" t="inlineStr">
        <x:is>
          <x:t xml:space="preserve">https://huggingface.co/Qwen/Qwen2.5-Coder-0.5B-Instruct-GGUF</x:t>
        </x:is>
      </x:c>
      <x:c s="14" r="M218" t="inlineStr">
        <x:is>
          <x:t xml:space="preserve">BF16/FP16</x:t>
        </x:is>
      </x:c>
      <x:c s="15" r="N218" t="n">
        <x:v>5.3</x:v>
      </x:c>
      <x:c s="14" r="O218" t="inlineStr">
        <x:is>
          <x:t xml:space="preserve">BF16/FP16</x:t>
        </x:is>
      </x:c>
      <x:c s="15" r="P218" t="n">
        <x:v>5.3</x:v>
      </x:c>
      <x:c s="14" r="Q218" t="inlineStr">
        <x:is>
          <x:t xml:space="preserve">Comfortable</x:t>
        </x:is>
      </x:c>
      <x:c s="18" r="R218" t="inlineStr">
        <x:is>
          <x:t xml:space="preserve">Code-specialized Qwen 2.5 family.</x:t>
        </x:is>
      </x:c>
      <x:c s="14" r="S218" t="inlineStr">
        <x:is>
          <x:t xml:space="preserve">current_family_page_2026-03-27</x:t>
        </x:is>
      </x:c>
      <x:c s="17" r="T218" t="inlineStr">
        <x:is>
          <x:t xml:space="preserve">https://huggingface.co/collections/Qwen/qwen25-coder-66f2e9e3bdbf8f6bcb2e315b</x:t>
        </x:is>
      </x:c>
      <x:c s="14" r="U218" t="inlineStr">
        <x:is>
          <x:t xml:space="preserve">Transformers; GGUF; AWQ/GPTQ</x:t>
        </x:is>
      </x:c>
      <x:c s="15" r="V218" t="n">
        <x:v>5.3</x:v>
      </x:c>
      <x:c s="15" r="W218" t="n">
        <x:v>4.6</x:v>
      </x:c>
      <x:c s="15" r="X218" t="n">
        <x:v>4.5</x:v>
      </x:c>
      <x:c s="15" r="Y218" t="n">
        <x:v>4.4</x:v>
      </x:c>
      <x:c s="15" r="Z218" t="n">
        <x:v>4.3</x:v>
      </x:c>
      <x:c s="15" r="AA218" t="n">
        <x:v>4.2</x:v>
      </x:c>
      <x:c s="15" r="AB218" t="n">
        <x:v>4.2</x:v>
      </x:c>
    </x:row>
    <x:row r="219">
      <x:c r="A219" t="inlineStr">
        <x:is>
          <x:t xml:space="preserve">SmolLM2</x:t>
        </x:is>
      </x:c>
      <x:c s="14" r="B219" t="inlineStr">
        <x:is>
          <x:t xml:space="preserve">HuggingFaceTB/SmolLM2-1.7B</x:t>
        </x:is>
      </x:c>
      <x:c s="14" r="C219" t="inlineStr">
        <x:is>
          <x:t xml:space="preserve">SmolLM2-1.7B</x:t>
        </x:is>
      </x:c>
      <x:c s="15" r="D219" t="n">
        <x:v>1.7</x:v>
      </x:c>
      <x:c s="15" r="E219"/>
      <x:c s="14" r="F219" t="inlineStr">
        <x:is>
          <x:t xml:space="preserve">general</x:t>
        </x:is>
      </x:c>
      <x:c s="14" r="G219" t="inlineStr">
        <x:is>
          <x:t xml:space="preserve">text</x:t>
        </x:is>
      </x:c>
      <x:c r="H219" t="inlineStr">
        <x:is>
          <x:t xml:space="preserve">base</x:t>
        </x:is>
      </x:c>
      <x:c r="I219" t="inlineStr">
        <x:is>
          <x:t xml:space="preserve">Dense</x:t>
        </x:is>
      </x:c>
      <x:c s="16" r="J219" t="inlineStr">
        <x:is>
          <x:t xml:space="preserve">open</x:t>
        </x:is>
      </x:c>
      <x:c s="17" r="K219" t="inlineStr">
        <x:is>
          <x:t xml:space="preserve">https://huggingface.co/HuggingFaceTB/SmolLM2-1.7B</x:t>
        </x:is>
      </x:c>
      <x:c s="17" r="L219" t="inlineStr">
        <x:is>
          <x:t xml:space="preserve"/>
        </x:is>
      </x:c>
      <x:c s="14" r="M219" t="inlineStr">
        <x:is>
          <x:t xml:space="preserve">BF16/FP16</x:t>
        </x:is>
      </x:c>
      <x:c s="15" r="N219" t="n">
        <x:v>8.3</x:v>
      </x:c>
      <x:c s="14" r="O219" t="inlineStr">
        <x:is>
          <x:t xml:space="preserve">BF16/FP16</x:t>
        </x:is>
      </x:c>
      <x:c s="15" r="P219" t="n">
        <x:v>8.3</x:v>
      </x:c>
      <x:c s="14" r="Q219" t="inlineStr">
        <x:is>
          <x:t xml:space="preserve">Comfortable</x:t>
        </x:is>
      </x:c>
      <x:c s="18" r="R219" t="inlineStr">
        <x:is>
          <x:t xml:space="preserve">Very small local-friendly model.</x:t>
        </x:is>
      </x:c>
      <x:c s="14" r="S219" t="inlineStr">
        <x:is>
          <x:t xml:space="preserve">current_family_page_2026-03-27</x:t>
        </x:is>
      </x:c>
      <x:c s="17" r="T219" t="inlineStr">
        <x:is>
          <x:t xml:space="preserve">https://huggingface.co/collections/HuggingFaceTB/smollm2-6718f09ac739766d2e60bdfc</x:t>
        </x:is>
      </x:c>
      <x:c s="14" r="U219" t="inlineStr">
        <x:is>
          <x:t xml:space="preserve">Transformers; GGUF; ONNX</x:t>
        </x:is>
      </x:c>
      <x:c s="15" r="V219" t="n">
        <x:v>8.3</x:v>
      </x:c>
      <x:c s="15" r="W219" t="n">
        <x:v>6.2</x:v>
      </x:c>
      <x:c s="15" r="X219" t="n">
        <x:v>5.6</x:v>
      </x:c>
      <x:c s="15" r="Y219" t="n">
        <x:v>5.3</x:v>
      </x:c>
      <x:c s="15" r="Z219" t="n">
        <x:v>5.1</x:v>
      </x:c>
      <x:c s="15" r="AA219" t="n">
        <x:v>4.8</x:v>
      </x:c>
      <x:c s="15" r="AB219" t="n">
        <x:v>4.5</x:v>
      </x:c>
    </x:row>
    <x:row r="220">
      <x:c r="A220" t="inlineStr">
        <x:is>
          <x:t xml:space="preserve">SmolLM2</x:t>
        </x:is>
      </x:c>
      <x:c s="14" r="B220" t="inlineStr">
        <x:is>
          <x:t xml:space="preserve">HuggingFaceTB/SmolLM2-1.7B-Instruct</x:t>
        </x:is>
      </x:c>
      <x:c s="14" r="C220" t="inlineStr">
        <x:is>
          <x:t xml:space="preserve">SmolLM2-1.7B-Instruct</x:t>
        </x:is>
      </x:c>
      <x:c s="15" r="D220" t="n">
        <x:v>1.7</x:v>
      </x:c>
      <x:c s="15" r="E220"/>
      <x:c s="14" r="F220" t="inlineStr">
        <x:is>
          <x:t xml:space="preserve">general chat</x:t>
        </x:is>
      </x:c>
      <x:c s="14" r="G220" t="inlineStr">
        <x:is>
          <x:t xml:space="preserve">text</x:t>
        </x:is>
      </x:c>
      <x:c r="H220" t="inlineStr">
        <x:is>
          <x:t xml:space="preserve">instruct</x:t>
        </x:is>
      </x:c>
      <x:c r="I220" t="inlineStr">
        <x:is>
          <x:t xml:space="preserve">Dense</x:t>
        </x:is>
      </x:c>
      <x:c s="16" r="J220" t="inlineStr">
        <x:is>
          <x:t xml:space="preserve">open</x:t>
        </x:is>
      </x:c>
      <x:c s="17" r="K220" t="inlineStr">
        <x:is>
          <x:t xml:space="preserve">https://huggingface.co/HuggingFaceTB/SmolLM2-1.7B-Instruct</x:t>
        </x:is>
      </x:c>
      <x:c s="17" r="L220" t="inlineStr">
        <x:is>
          <x:t xml:space="preserve">https://huggingface.co/HuggingFaceTB/SmolLM2-1.7B-Instruct-GGUF</x:t>
        </x:is>
      </x:c>
      <x:c s="14" r="M220" t="inlineStr">
        <x:is>
          <x:t xml:space="preserve">BF16/FP16</x:t>
        </x:is>
      </x:c>
      <x:c s="15" r="N220" t="n">
        <x:v>8.3</x:v>
      </x:c>
      <x:c s="14" r="O220" t="inlineStr">
        <x:is>
          <x:t xml:space="preserve">BF16/FP16</x:t>
        </x:is>
      </x:c>
      <x:c s="15" r="P220" t="n">
        <x:v>8.3</x:v>
      </x:c>
      <x:c s="14" r="Q220" t="inlineStr">
        <x:is>
          <x:t xml:space="preserve">Comfortable</x:t>
        </x:is>
      </x:c>
      <x:c s="18" r="R220" t="inlineStr">
        <x:is>
          <x:t xml:space="preserve">Very small local-friendly model.</x:t>
        </x:is>
      </x:c>
      <x:c s="14" r="S220" t="inlineStr">
        <x:is>
          <x:t xml:space="preserve">current_family_page_2026-03-27</x:t>
        </x:is>
      </x:c>
      <x:c s="17" r="T220" t="inlineStr">
        <x:is>
          <x:t xml:space="preserve">https://huggingface.co/collections/HuggingFaceTB/smollm2-6718f09ac739766d2e60bdfc</x:t>
        </x:is>
      </x:c>
      <x:c s="14" r="U220" t="inlineStr">
        <x:is>
          <x:t xml:space="preserve">Transformers; GGUF; ONNX</x:t>
        </x:is>
      </x:c>
      <x:c s="15" r="V220" t="n">
        <x:v>8.3</x:v>
      </x:c>
      <x:c s="15" r="W220" t="n">
        <x:v>6.2</x:v>
      </x:c>
      <x:c s="15" r="X220" t="n">
        <x:v>5.6</x:v>
      </x:c>
      <x:c s="15" r="Y220" t="n">
        <x:v>5.3</x:v>
      </x:c>
      <x:c s="15" r="Z220" t="n">
        <x:v>5.1</x:v>
      </x:c>
      <x:c s="15" r="AA220" t="n">
        <x:v>4.8</x:v>
      </x:c>
      <x:c s="15" r="AB220" t="n">
        <x:v>4.5</x:v>
      </x:c>
    </x:row>
    <x:row r="221">
      <x:c r="A221" t="inlineStr">
        <x:is>
          <x:t xml:space="preserve">SmolLM2</x:t>
        </x:is>
      </x:c>
      <x:c s="14" r="B221" t="inlineStr">
        <x:is>
          <x:t xml:space="preserve">HuggingFaceTB/SmolLM2-360M</x:t>
        </x:is>
      </x:c>
      <x:c s="14" r="C221" t="inlineStr">
        <x:is>
          <x:t xml:space="preserve">SmolLM2-360M</x:t>
        </x:is>
      </x:c>
      <x:c s="15" r="D221" t="n">
        <x:v>0.36</x:v>
      </x:c>
      <x:c s="15" r="E221"/>
      <x:c s="14" r="F221" t="inlineStr">
        <x:is>
          <x:t xml:space="preserve">general</x:t>
        </x:is>
      </x:c>
      <x:c s="14" r="G221" t="inlineStr">
        <x:is>
          <x:t xml:space="preserve">text</x:t>
        </x:is>
      </x:c>
      <x:c r="H221" t="inlineStr">
        <x:is>
          <x:t xml:space="preserve">base</x:t>
        </x:is>
      </x:c>
      <x:c r="I221" t="inlineStr">
        <x:is>
          <x:t xml:space="preserve">Dense</x:t>
        </x:is>
      </x:c>
      <x:c s="16" r="J221" t="inlineStr">
        <x:is>
          <x:t xml:space="preserve">open</x:t>
        </x:is>
      </x:c>
      <x:c s="17" r="K221" t="inlineStr">
        <x:is>
          <x:t xml:space="preserve">https://huggingface.co/HuggingFaceTB/SmolLM2-360M</x:t>
        </x:is>
      </x:c>
      <x:c s="17" r="L221" t="inlineStr">
        <x:is>
          <x:t xml:space="preserve"/>
        </x:is>
      </x:c>
      <x:c s="14" r="M221" t="inlineStr">
        <x:is>
          <x:t xml:space="preserve">BF16/FP16</x:t>
        </x:is>
      </x:c>
      <x:c s="15" r="N221" t="n">
        <x:v>4.9</x:v>
      </x:c>
      <x:c s="14" r="O221" t="inlineStr">
        <x:is>
          <x:t xml:space="preserve">BF16/FP16</x:t>
        </x:is>
      </x:c>
      <x:c s="15" r="P221" t="n">
        <x:v>4.9</x:v>
      </x:c>
      <x:c s="14" r="Q221" t="inlineStr">
        <x:is>
          <x:t xml:space="preserve">Comfortable</x:t>
        </x:is>
      </x:c>
      <x:c s="18" r="R221" t="inlineStr">
        <x:is>
          <x:t xml:space="preserve">Very small local-friendly model.</x:t>
        </x:is>
      </x:c>
      <x:c s="14" r="S221" t="inlineStr">
        <x:is>
          <x:t xml:space="preserve">stable_series_pattern</x:t>
        </x:is>
      </x:c>
      <x:c s="17" r="T221" t="inlineStr">
        <x:is>
          <x:t xml:space="preserve">https://huggingface.co/collections/HuggingFaceTB/smollm2-6718f09ac739766d2e60bdfc</x:t>
        </x:is>
      </x:c>
      <x:c s="14" r="U221" t="inlineStr">
        <x:is>
          <x:t xml:space="preserve">Transformers; GGUF; ONNX</x:t>
        </x:is>
      </x:c>
      <x:c s="15" r="V221" t="n">
        <x:v>4.9</x:v>
      </x:c>
      <x:c s="15" r="W221" t="n">
        <x:v>4.5</x:v>
      </x:c>
      <x:c s="15" r="X221" t="n">
        <x:v>4.3</x:v>
      </x:c>
      <x:c s="15" r="Y221" t="n">
        <x:v>4.3</x:v>
      </x:c>
      <x:c s="15" r="Z221" t="n">
        <x:v>4.2</x:v>
      </x:c>
      <x:c s="15" r="AA221" t="n">
        <x:v>4.2</x:v>
      </x:c>
      <x:c s="15" r="AB221" t="n">
        <x:v>4.1</x:v>
      </x:c>
    </x:row>
    <x:row r="222">
      <x:c r="A222" t="inlineStr">
        <x:is>
          <x:t xml:space="preserve">SmolLM2</x:t>
        </x:is>
      </x:c>
      <x:c s="14" r="B222" t="inlineStr">
        <x:is>
          <x:t xml:space="preserve">HuggingFaceTB/SmolLM2-360M-Instruct</x:t>
        </x:is>
      </x:c>
      <x:c s="14" r="C222" t="inlineStr">
        <x:is>
          <x:t xml:space="preserve">SmolLM2-360M-Instruct</x:t>
        </x:is>
      </x:c>
      <x:c s="15" r="D222" t="n">
        <x:v>0.36</x:v>
      </x:c>
      <x:c s="15" r="E222"/>
      <x:c s="14" r="F222" t="inlineStr">
        <x:is>
          <x:t xml:space="preserve">general chat</x:t>
        </x:is>
      </x:c>
      <x:c s="14" r="G222" t="inlineStr">
        <x:is>
          <x:t xml:space="preserve">text</x:t>
        </x:is>
      </x:c>
      <x:c r="H222" t="inlineStr">
        <x:is>
          <x:t xml:space="preserve">instruct</x:t>
        </x:is>
      </x:c>
      <x:c r="I222" t="inlineStr">
        <x:is>
          <x:t xml:space="preserve">Dense</x:t>
        </x:is>
      </x:c>
      <x:c s="16" r="J222" t="inlineStr">
        <x:is>
          <x:t xml:space="preserve">open</x:t>
        </x:is>
      </x:c>
      <x:c s="17" r="K222" t="inlineStr">
        <x:is>
          <x:t xml:space="preserve">https://huggingface.co/HuggingFaceTB/SmolLM2-360M-Instruct</x:t>
        </x:is>
      </x:c>
      <x:c s="17" r="L222" t="inlineStr">
        <x:is>
          <x:t xml:space="preserve"/>
        </x:is>
      </x:c>
      <x:c s="14" r="M222" t="inlineStr">
        <x:is>
          <x:t xml:space="preserve">BF16/FP16</x:t>
        </x:is>
      </x:c>
      <x:c s="15" r="N222" t="n">
        <x:v>4.9</x:v>
      </x:c>
      <x:c s="14" r="O222" t="inlineStr">
        <x:is>
          <x:t xml:space="preserve">BF16/FP16</x:t>
        </x:is>
      </x:c>
      <x:c s="15" r="P222" t="n">
        <x:v>4.9</x:v>
      </x:c>
      <x:c s="14" r="Q222" t="inlineStr">
        <x:is>
          <x:t xml:space="preserve">Comfortable</x:t>
        </x:is>
      </x:c>
      <x:c s="18" r="R222" t="inlineStr">
        <x:is>
          <x:t xml:space="preserve">Very small local-friendly model.</x:t>
        </x:is>
      </x:c>
      <x:c s="14" r="S222" t="inlineStr">
        <x:is>
          <x:t xml:space="preserve">stable_series_pattern</x:t>
        </x:is>
      </x:c>
      <x:c s="17" r="T222" t="inlineStr">
        <x:is>
          <x:t xml:space="preserve">https://huggingface.co/collections/HuggingFaceTB/smollm2-6718f09ac739766d2e60bdfc</x:t>
        </x:is>
      </x:c>
      <x:c s="14" r="U222" t="inlineStr">
        <x:is>
          <x:t xml:space="preserve">Transformers; GGUF; ONNX</x:t>
        </x:is>
      </x:c>
      <x:c s="15" r="V222" t="n">
        <x:v>4.9</x:v>
      </x:c>
      <x:c s="15" r="W222" t="n">
        <x:v>4.5</x:v>
      </x:c>
      <x:c s="15" r="X222" t="n">
        <x:v>4.3</x:v>
      </x:c>
      <x:c s="15" r="Y222" t="n">
        <x:v>4.3</x:v>
      </x:c>
      <x:c s="15" r="Z222" t="n">
        <x:v>4.2</x:v>
      </x:c>
      <x:c s="15" r="AA222" t="n">
        <x:v>4.2</x:v>
      </x:c>
      <x:c s="15" r="AB222" t="n">
        <x:v>4.1</x:v>
      </x:c>
    </x:row>
    <x:row r="223">
      <x:c r="A223" t="inlineStr">
        <x:is>
          <x:t xml:space="preserve">SmolLM2</x:t>
        </x:is>
      </x:c>
      <x:c s="14" r="B223" t="inlineStr">
        <x:is>
          <x:t xml:space="preserve">HuggingFaceTB/SmolLM2-135M</x:t>
        </x:is>
      </x:c>
      <x:c s="14" r="C223" t="inlineStr">
        <x:is>
          <x:t xml:space="preserve">SmolLM2-135M</x:t>
        </x:is>
      </x:c>
      <x:c s="15" r="D223" t="n">
        <x:v>0.135</x:v>
      </x:c>
      <x:c s="15" r="E223"/>
      <x:c s="14" r="F223" t="inlineStr">
        <x:is>
          <x:t xml:space="preserve">general</x:t>
        </x:is>
      </x:c>
      <x:c s="14" r="G223" t="inlineStr">
        <x:is>
          <x:t xml:space="preserve">text</x:t>
        </x:is>
      </x:c>
      <x:c r="H223" t="inlineStr">
        <x:is>
          <x:t xml:space="preserve">base</x:t>
        </x:is>
      </x:c>
      <x:c r="I223" t="inlineStr">
        <x:is>
          <x:t xml:space="preserve">Dense</x:t>
        </x:is>
      </x:c>
      <x:c s="16" r="J223" t="inlineStr">
        <x:is>
          <x:t xml:space="preserve">open</x:t>
        </x:is>
      </x:c>
      <x:c s="17" r="K223" t="inlineStr">
        <x:is>
          <x:t xml:space="preserve">https://huggingface.co/HuggingFaceTB/SmolLM2-135M</x:t>
        </x:is>
      </x:c>
      <x:c s="17" r="L223" t="inlineStr">
        <x:is>
          <x:t xml:space="preserve"/>
        </x:is>
      </x:c>
      <x:c s="14" r="M223" t="inlineStr">
        <x:is>
          <x:t xml:space="preserve">BF16/FP16</x:t>
        </x:is>
      </x:c>
      <x:c s="15" r="N223" t="n">
        <x:v>4.3</x:v>
      </x:c>
      <x:c s="14" r="O223" t="inlineStr">
        <x:is>
          <x:t xml:space="preserve">BF16/FP16</x:t>
        </x:is>
      </x:c>
      <x:c s="15" r="P223" t="n">
        <x:v>4.3</x:v>
      </x:c>
      <x:c s="14" r="Q223" t="inlineStr">
        <x:is>
          <x:t xml:space="preserve">Comfortable</x:t>
        </x:is>
      </x:c>
      <x:c s="18" r="R223" t="inlineStr">
        <x:is>
          <x:t xml:space="preserve">Very small local-friendly model.</x:t>
        </x:is>
      </x:c>
      <x:c s="14" r="S223" t="inlineStr">
        <x:is>
          <x:t xml:space="preserve">stable_series_pattern</x:t>
        </x:is>
      </x:c>
      <x:c s="17" r="T223" t="inlineStr">
        <x:is>
          <x:t xml:space="preserve">https://huggingface.co/collections/HuggingFaceTB/smollm2-6718f09ac739766d2e60bdfc</x:t>
        </x:is>
      </x:c>
      <x:c s="14" r="U223" t="inlineStr">
        <x:is>
          <x:t xml:space="preserve">Transformers; GGUF; ONNX</x:t>
        </x:is>
      </x:c>
      <x:c s="15" r="V223" t="n">
        <x:v>4.3</x:v>
      </x:c>
      <x:c s="15" r="W223" t="n">
        <x:v>4.2</x:v>
      </x:c>
      <x:c s="15" r="X223" t="n">
        <x:v>4.1</x:v>
      </x:c>
      <x:c s="15" r="Y223" t="n">
        <x:v>4.1</x:v>
      </x:c>
      <x:c s="15" r="Z223" t="n">
        <x:v>4.1</x:v>
      </x:c>
      <x:c s="15" r="AA223" t="n">
        <x:v>4.1</x:v>
      </x:c>
      <x:c s="15" r="AB223" t="n">
        <x:v>4</x:v>
      </x:c>
    </x:row>
    <x:row r="224">
      <x:c r="A224" t="inlineStr">
        <x:is>
          <x:t xml:space="preserve">SmolLM2</x:t>
        </x:is>
      </x:c>
      <x:c s="14" r="B224" t="inlineStr">
        <x:is>
          <x:t xml:space="preserve">HuggingFaceTB/SmolLM2-135M-Instruct</x:t>
        </x:is>
      </x:c>
      <x:c s="14" r="C224" t="inlineStr">
        <x:is>
          <x:t xml:space="preserve">SmolLM2-135M-Instruct</x:t>
        </x:is>
      </x:c>
      <x:c s="15" r="D224" t="n">
        <x:v>0.135</x:v>
      </x:c>
      <x:c s="15" r="E224"/>
      <x:c s="14" r="F224" t="inlineStr">
        <x:is>
          <x:t xml:space="preserve">general chat</x:t>
        </x:is>
      </x:c>
      <x:c s="14" r="G224" t="inlineStr">
        <x:is>
          <x:t xml:space="preserve">text</x:t>
        </x:is>
      </x:c>
      <x:c r="H224" t="inlineStr">
        <x:is>
          <x:t xml:space="preserve">instruct</x:t>
        </x:is>
      </x:c>
      <x:c r="I224" t="inlineStr">
        <x:is>
          <x:t xml:space="preserve">Dense</x:t>
        </x:is>
      </x:c>
      <x:c s="16" r="J224" t="inlineStr">
        <x:is>
          <x:t xml:space="preserve">open</x:t>
        </x:is>
      </x:c>
      <x:c s="17" r="K224" t="inlineStr">
        <x:is>
          <x:t xml:space="preserve">https://huggingface.co/HuggingFaceTB/SmolLM2-135M-Instruct</x:t>
        </x:is>
      </x:c>
      <x:c s="17" r="L224" t="inlineStr">
        <x:is>
          <x:t xml:space="preserve"/>
        </x:is>
      </x:c>
      <x:c s="14" r="M224" t="inlineStr">
        <x:is>
          <x:t xml:space="preserve">BF16/FP16</x:t>
        </x:is>
      </x:c>
      <x:c s="15" r="N224" t="n">
        <x:v>4.3</x:v>
      </x:c>
      <x:c s="14" r="O224" t="inlineStr">
        <x:is>
          <x:t xml:space="preserve">BF16/FP16</x:t>
        </x:is>
      </x:c>
      <x:c s="15" r="P224" t="n">
        <x:v>4.3</x:v>
      </x:c>
      <x:c s="14" r="Q224" t="inlineStr">
        <x:is>
          <x:t xml:space="preserve">Comfortable</x:t>
        </x:is>
      </x:c>
      <x:c s="18" r="R224" t="inlineStr">
        <x:is>
          <x:t xml:space="preserve">Very small local-friendly model.</x:t>
        </x:is>
      </x:c>
      <x:c s="14" r="S224" t="inlineStr">
        <x:is>
          <x:t xml:space="preserve">stable_series_pattern</x:t>
        </x:is>
      </x:c>
      <x:c s="17" r="T224" t="inlineStr">
        <x:is>
          <x:t xml:space="preserve">https://huggingface.co/collections/HuggingFaceTB/smollm2-6718f09ac739766d2e60bdfc</x:t>
        </x:is>
      </x:c>
      <x:c s="14" r="U224" t="inlineStr">
        <x:is>
          <x:t xml:space="preserve">Transformers; GGUF; ONNX</x:t>
        </x:is>
      </x:c>
      <x:c s="15" r="V224" t="n">
        <x:v>4.3</x:v>
      </x:c>
      <x:c s="15" r="W224" t="n">
        <x:v>4.2</x:v>
      </x:c>
      <x:c s="15" r="X224" t="n">
        <x:v>4.1</x:v>
      </x:c>
      <x:c s="15" r="Y224" t="n">
        <x:v>4.1</x:v>
      </x:c>
      <x:c s="15" r="Z224" t="n">
        <x:v>4.1</x:v>
      </x:c>
      <x:c s="15" r="AA224" t="n">
        <x:v>4.1</x:v>
      </x:c>
      <x:c s="15" r="AB224" t="n">
        <x:v>4</x:v>
      </x:c>
    </x:row>
  </x:sheetData>
  <x:conditionalFormatting sqref="Q2:Q224">
    <x:cfRule type="expression" dxfId="0" priority="1">
      <x:formula>EXACT(Q2,"Comfortable")</x:formula>
    </x:cfRule>
    <x:cfRule type="expression" dxfId="1" priority="2">
      <x:formula>EXACT(Q2,"Near limit")</x:formula>
    </x:cfRule>
    <x:cfRule type="expression" dxfId="2" priority="3">
      <x:formula>EXACT(Q2,"Tight")</x:formula>
    </x:cfRule>
    <x:cfRule type="expression" dxfId="3" priority="4">
      <x:formula>EXACT(Q2,"Aggressive quant only")</x:formula>
    </x:cfRule>
    <x:cfRule type="expression" dxfId="4" priority="5">
      <x:formula>EXACT(Q2,"Excluded")</x:formula>
    </x:cfRule>
  </x:conditionalFormatting>
  <x:pageMargins left="0.7" right="0.7" top="0.75" bottom="0.75" header="0.3" footer="0.3"/>
  <x:legacyDrawing r:id="Rce43fe1438ed459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44" customWidth="1"/>
    <x:col min="3" max="3" width="28" customWidth="1"/>
    <x:col min="4" max="4" width="12" customWidth="1"/>
    <x:col min="5" max="5" width="12" customWidth="1"/>
    <x:col min="6" max="6" width="18" customWidth="1"/>
    <x:col min="7" max="7" width="14" customWidth="1"/>
    <x:col min="8" max="8" width="12" customWidth="1"/>
    <x:col min="9" max="9" width="12" customWidth="1"/>
    <x:col min="10" max="10" width="18" customWidth="1"/>
    <x:col min="11" max="11" width="38" customWidth="1"/>
    <x:col min="12" max="12" width="38" customWidth="1"/>
    <x:col min="13" max="13" width="22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40" customWidth="1"/>
    <x:col min="19" max="19" width="20" hidden="1" customWidth="1"/>
    <x:col min="20" max="20" width="36" hidden="1" customWidth="1"/>
    <x:col min="21" max="21" width="26" hidden="1" customWidth="1"/>
    <x:col min="22" max="22" width="12" hidden="1" customWidth="1"/>
    <x:col min="23" max="23" width="12" hidden="1" customWidth="1"/>
    <x:col min="24" max="24" width="12" hidden="1" customWidth="1"/>
    <x:col min="25" max="25" width="12" hidden="1" customWidth="1"/>
    <x:col min="26" max="26" width="12" hidden="1" customWidth="1"/>
    <x:col min="27" max="27" width="12" hidden="1" customWidth="1"/>
    <x:col min="28" max="28" width="12" hidden="1" customWidth="1"/>
  </x:cols>
  <x:sheetData>
    <x:row r="1">
      <x:c r="A1" s="12" t="inlineStr">
        <x:is>
          <x:t xml:space="preserve">family</x:t>
        </x:is>
      </x:c>
      <x:c r="B1" s="12" t="inlineStr">
        <x:is>
          <x:t xml:space="preserve">model_id</x:t>
        </x:is>
      </x:c>
      <x:c r="C1" s="12" t="inlineStr">
        <x:is>
          <x:t xml:space="preserve">model_name</x:t>
        </x:is>
      </x:c>
      <x:c r="D1" s="12" t="inlineStr">
        <x:is>
          <x:t xml:space="preserve">total_params_b</x:t>
        </x:is>
      </x:c>
      <x:c r="E1" s="12" t="inlineStr">
        <x:is>
          <x:t xml:space="preserve">active_params_b</x:t>
        </x:is>
      </x:c>
      <x:c r="F1" s="12" t="inlineStr">
        <x:is>
          <x:t xml:space="preserve">primary_use</x:t>
        </x:is>
      </x:c>
      <x:c r="G1" s="12" t="inlineStr">
        <x:is>
          <x:t xml:space="preserve">modality</x:t>
        </x:is>
      </x:c>
      <x:c r="H1" s="12" t="inlineStr">
        <x:is>
          <x:t xml:space="preserve">variant</x:t>
        </x:is>
      </x:c>
      <x:c r="I1" s="12" t="inlineStr">
        <x:is>
          <x:t xml:space="preserve">architecture</x:t>
        </x:is>
      </x:c>
      <x:c r="J1" s="12" t="inlineStr">
        <x:is>
          <x:t xml:space="preserve">access</x:t>
        </x:is>
      </x:c>
      <x:c r="K1" s="12" t="inlineStr">
        <x:is>
          <x:t xml:space="preserve">official_hf_link</x:t>
        </x:is>
      </x:c>
      <x:c r="L1" s="12" t="inlineStr">
        <x:is>
          <x:t xml:space="preserve">direct_quant_hf_link</x:t>
        </x:is>
      </x:c>
      <x:c r="M1" s="12" t="inlineStr">
        <x:is>
          <x:t xml:space="preserve">highest_quality_quant_under_100gb</x:t>
        </x:is>
      </x:c>
      <x:c r="N1" s="12" t="inlineStr">
        <x:is>
          <x:t xml:space="preserve">highest_est_practical_gb</x:t>
        </x:is>
      </x:c>
      <x:c r="O1" s="12" t="inlineStr">
        <x:is>
          <x:t xml:space="preserve">balanced_quant</x:t>
        </x:is>
      </x:c>
      <x:c r="P1" s="12" t="inlineStr">
        <x:is>
          <x:t xml:space="preserve">balanced_est_practical_gb</x:t>
        </x:is>
      </x:c>
      <x:c r="Q1" s="12" t="inlineStr">
        <x:is>
          <x:t xml:space="preserve">fit_tier</x:t>
        </x:is>
      </x:c>
      <x:c r="R1" s="12" t="inlineStr">
        <x:is>
          <x:t xml:space="preserve">notes</x:t>
        </x:is>
      </x:c>
      <x:c r="S1" s="12" t="inlineStr">
        <x:is>
          <x:t xml:space="preserve">verification_status</x:t>
        </x:is>
      </x:c>
      <x:c r="T1" s="12" t="inlineStr">
        <x:is>
          <x:t xml:space="preserve">family_source_url</x:t>
        </x:is>
      </x:c>
      <x:c r="U1" s="12" t="inlineStr">
        <x:is>
          <x:t xml:space="preserve">common_local_formats</x:t>
        </x:is>
      </x:c>
      <x:c r="V1" s="12" t="inlineStr">
        <x:is>
          <x:t xml:space="preserve">bf16_mem</x:t>
        </x:is>
      </x:c>
      <x:c r="W1" s="12" t="inlineStr">
        <x:is>
          <x:t xml:space="preserve">q8_mem</x:t>
        </x:is>
      </x:c>
      <x:c r="X1" s="12" t="inlineStr">
        <x:is>
          <x:t xml:space="preserve">q6_mem</x:t>
        </x:is>
      </x:c>
      <x:c r="Y1" s="12" t="inlineStr">
        <x:is>
          <x:t xml:space="preserve">q5_mem</x:t>
        </x:is>
      </x:c>
      <x:c r="Z1" s="12" t="inlineStr">
        <x:is>
          <x:t xml:space="preserve">q4_mem</x:t>
        </x:is>
      </x:c>
      <x:c r="AA1" s="12" t="inlineStr">
        <x:is>
          <x:t xml:space="preserve">q3_mem</x:t>
        </x:is>
      </x:c>
      <x:c r="AB1" s="12" t="inlineStr">
        <x:is>
          <x:t xml:space="preserve">q2_mem</x:t>
        </x:is>
      </x:c>
    </x:row>
    <x:row r="2">
      <x:c r="A2" t="inlineStr">
        <x:is>
          <x:t xml:space="preserve">DeepSeek</x:t>
        </x:is>
      </x:c>
      <x:c r="B2" s="14" t="inlineStr">
        <x:is>
          <x:t xml:space="preserve">deepseek-ai/DeepSeek-Coder-V2-Base</x:t>
        </x:is>
      </x:c>
      <x:c r="C2" s="14" t="inlineStr">
        <x:is>
          <x:t xml:space="preserve">DeepSeek-Coder-V2-Base</x:t>
        </x:is>
      </x:c>
      <x:c r="D2" s="15" t="n">
        <x:v>236</x:v>
      </x:c>
      <x:c r="E2" s="15" t="n">
        <x:v>21</x:v>
      </x:c>
      <x:c r="F2" s="14" t="inlineStr">
        <x:is>
          <x:t xml:space="preserve">coding</x:t>
        </x:is>
      </x:c>
      <x:c r="G2" s="14" t="inlineStr">
        <x:is>
          <x:t xml:space="preserve">text</x:t>
        </x:is>
      </x:c>
      <x:c r="H2" t="inlineStr">
        <x:is>
          <x:t xml:space="preserve">base</x:t>
        </x:is>
      </x:c>
      <x:c r="I2" t="inlineStr">
        <x:is>
          <x:t xml:space="preserve">MoE</x:t>
        </x:is>
      </x:c>
      <x:c r="J2" s="23" t="inlineStr">
        <x:is>
          <x:t xml:space="preserve">open</x:t>
        </x:is>
      </x:c>
      <x:c r="K2" s="17" t="inlineStr">
        <x:is>
          <x:t xml:space="preserve">https://huggingface.co/deepseek-ai/DeepSeek-Coder-V2-Base</x:t>
        </x:is>
      </x:c>
      <x:c r="L2" s="14" t="inlineStr">
        <x:is>
          <x:t xml:space="preserve"/>
        </x:is>
      </x:c>
      <x:c r="M2" s="14" t="str">
        <x:f>IF($V2&lt;=README!$B$8,"BF16/FP16",IF($W2&lt;=README!$B$8,"FP8/Q8_0/INT8",IF($X2&lt;=README!$B$8,"Q6_K/6-bit",IF($Y2&lt;=README!$B$8,"Q5_K_M/5-bit",IF($Z2&lt;=README!$B$8,"Q4_K_M/4-bit",IF($AA2&lt;=README!$B$8,"Q3_K_M/3-bit",IF($AB2&lt;=README!$B$8,"Q2_K/2-bit","NO FIT")))))))</x:f>
        <x:v>Q2_K/2-bit</x:v>
      </x:c>
      <x:c r="N2" s="15">
        <x:f>IF($M2="BF16/FP16",$V2,IF($M2="FP8/Q8_0/INT8",$W2,IF($M2="Q6_K/6-bit",$X2,IF($M2="Q5_K_M/5-bit",$Y2,IF($M2="Q4_K_M/4-bit",$Z2,IF($M2="Q3_K_M/3-bit",$AA2,IF($M2="Q2_K/2-bit",$AB2,"")))))))</x:f>
        <x:v>81.9</x:v>
      </x:c>
      <x:c r="O2" s="14" t="str">
        <x:f>IF($V2&lt;=README!$B$10,"BF16/FP16",IF($W2&lt;=README!$B$10,"FP8/Q8_0/INT8",IF($X2&lt;=README!$B$10,"Q6_K/6-bit",IF($Y2&lt;=README!$B$10,"Q5_K_M/5-bit",IF($Z2&lt;=README!$B$10,"Q4_K_M/4-bit",IF($AA2&lt;=README!$B$10,"Q3_K_M/3-bit",IF($AB2&lt;=README!$B$10,"Q2_K/2-bit",$M2)))))))</x:f>
        <x:v>Q2_K/2-bit</x:v>
      </x:c>
      <x:c r="P2" s="15">
        <x:f>IF($O2="BF16/FP16",$V2,IF($O2="FP8/Q8_0/INT8",$W2,IF($O2="Q6_K/6-bit",$X2,IF($O2="Q5_K_M/5-bit",$Y2,IF($O2="Q4_K_M/4-bit",$Z2,IF($O2="Q3_K_M/3-bit",$AA2,IF($O2="Q2_K/2-bit",$AB2,"")))))))</x:f>
        <x:v>81.9</x:v>
      </x:c>
      <x:c r="Q2" s="14" t="str">
        <x:f>IF($M2="NO FIT","Excluded",IF(OR($M2="Q3_K_M/3-bit",$M2="Q2_K/2-bit"),"Aggressive quant only",IF($P2&lt;=README!$B$9,"Comfortable",IF($P2&lt;=README!$B$10,"Near limit","Tight"))))</x:f>
        <x:v>Aggressive quant only</x:v>
      </x:c>
      <x:c r="R2" s="18" t="inlineStr">
        <x:is>
          <x:t xml:space="preserve">Likely only practical under 100GB with aggressive quant.</x:t>
        </x:is>
      </x:c>
      <x:c r="S2" s="14" t="inlineStr">
        <x:is>
          <x:t xml:space="preserve">stable_series_pattern</x:t>
        </x:is>
      </x:c>
      <x:c r="T2" s="17" t="inlineStr">
        <x:is>
          <x:t xml:space="preserve">https://huggingface.co/deepseek-ai</x:t>
        </x:is>
      </x:c>
      <x:c r="U2" s="14" t="inlineStr">
        <x:is>
          <x:t xml:space="preserve">Transformers; community GGUF/AWQ</x:t>
        </x:is>
      </x:c>
      <x:c r="V2" s="15">
        <x:f>ROUND($D2*2.0*IF($I2="MoE",README!$B$14,README!$B$13)*(1+README!$B$11)+README!$B$12,1)</x:f>
        <x:v>627</x:v>
      </x:c>
      <x:c r="W2" s="15">
        <x:f>ROUND($D2*1.0*IF($I2="MoE",README!$B$14,README!$B$13)*(1+README!$B$11)+README!$B$12,1)</x:f>
        <x:v>315.5</x:v>
      </x:c>
      <x:c r="X2" s="15">
        <x:f>ROUND($D2*0.75*IF($I2="MoE",README!$B$14,README!$B$13)*(1+README!$B$11)+README!$B$12,1)</x:f>
        <x:v>237.6</x:v>
      </x:c>
      <x:c r="Y2" s="15">
        <x:f>ROUND($D2*0.625*IF($I2="MoE",README!$B$14,README!$B$13)*(1+README!$B$11)+README!$B$12,1)</x:f>
        <x:v>198.7</x:v>
      </x:c>
      <x:c r="Z2" s="15">
        <x:f>ROUND($D2*0.5*IF($I2="MoE",README!$B$14,README!$B$13)*(1+README!$B$11)+README!$B$12,1)</x:f>
        <x:v>159.8</x:v>
      </x:c>
      <x:c r="AA2" s="15">
        <x:f>ROUND($D2*0.375*IF($I2="MoE",README!$B$14,README!$B$13)*(1+README!$B$11)+README!$B$12,1)</x:f>
        <x:v>120.8</x:v>
      </x:c>
      <x:c r="AB2" s="15">
        <x:f>ROUND($D2*0.25*IF($I2="MoE",README!$B$14,README!$B$13)*(1+README!$B$11)+README!$B$12,1)</x:f>
        <x:v>81.9</x:v>
      </x:c>
    </x:row>
    <x:row r="3">
      <x:c r="A3" s="19" t="inlineStr">
        <x:is>
          <x:t xml:space="preserve">DeepSeek</x:t>
        </x:is>
      </x:c>
      <x:c r="B3" s="20" t="inlineStr">
        <x:is>
          <x:t xml:space="preserve">deepseek-ai/DeepSeek-Coder-V2-Instruct</x:t>
        </x:is>
      </x:c>
      <x:c r="C3" s="20" t="inlineStr">
        <x:is>
          <x:t xml:space="preserve">DeepSeek-Coder-V2-Instruct</x:t>
        </x:is>
      </x:c>
      <x:c r="D3" s="21" t="n">
        <x:v>236</x:v>
      </x:c>
      <x:c r="E3" s="21" t="n">
        <x:v>21</x:v>
      </x:c>
      <x:c r="F3" s="20" t="inlineStr">
        <x:is>
          <x:t xml:space="preserve">coding chat</x:t>
        </x:is>
      </x:c>
      <x:c r="G3" s="20" t="inlineStr">
        <x:is>
          <x:t xml:space="preserve">text</x:t>
        </x:is>
      </x:c>
      <x:c r="H3" s="19" t="inlineStr">
        <x:is>
          <x:t xml:space="preserve">instruct</x:t>
        </x:is>
      </x:c>
      <x:c r="I3" s="19" t="inlineStr">
        <x:is>
          <x:t xml:space="preserve">MoE</x:t>
        </x:is>
      </x:c>
      <x:c r="J3" s="19" t="inlineStr">
        <x:is>
          <x:t xml:space="preserve">open</x:t>
        </x:is>
      </x:c>
      <x:c r="K3" s="22" t="inlineStr">
        <x:is>
          <x:t xml:space="preserve">https://huggingface.co/deepseek-ai/DeepSeek-Coder-V2-Instruct</x:t>
        </x:is>
      </x:c>
      <x:c r="L3" s="14" t="inlineStr">
        <x:is>
          <x:t xml:space="preserve"/>
        </x:is>
      </x:c>
      <x:c r="M3" s="20" t="str">
        <x:f>IF($V3&lt;=README!$B$8,"BF16/FP16",IF($W3&lt;=README!$B$8,"FP8/Q8_0/INT8",IF($X3&lt;=README!$B$8,"Q6_K/6-bit",IF($Y3&lt;=README!$B$8,"Q5_K_M/5-bit",IF($Z3&lt;=README!$B$8,"Q4_K_M/4-bit",IF($AA3&lt;=README!$B$8,"Q3_K_M/3-bit",IF($AB3&lt;=README!$B$8,"Q2_K/2-bit","NO FIT")))))))</x:f>
        <x:v>Q2_K/2-bit</x:v>
      </x:c>
      <x:c r="N3" s="21">
        <x:f>IF($M3="BF16/FP16",$V3,IF($M3="FP8/Q8_0/INT8",$W3,IF($M3="Q6_K/6-bit",$X3,IF($M3="Q5_K_M/5-bit",$Y3,IF($M3="Q4_K_M/4-bit",$Z3,IF($M3="Q3_K_M/3-bit",$AA3,IF($M3="Q2_K/2-bit",$AB3,"")))))))</x:f>
        <x:v>81.9</x:v>
      </x:c>
      <x:c r="O3" s="20" t="str">
        <x:f>IF($V3&lt;=README!$B$10,"BF16/FP16",IF($W3&lt;=README!$B$10,"FP8/Q8_0/INT8",IF($X3&lt;=README!$B$10,"Q6_K/6-bit",IF($Y3&lt;=README!$B$10,"Q5_K_M/5-bit",IF($Z3&lt;=README!$B$10,"Q4_K_M/4-bit",IF($AA3&lt;=README!$B$10,"Q3_K_M/3-bit",IF($AB3&lt;=README!$B$10,"Q2_K/2-bit",$M3)))))))</x:f>
        <x:v>Q2_K/2-bit</x:v>
      </x:c>
      <x:c r="P3" s="21">
        <x:f>IF($O3="BF16/FP16",$V3,IF($O3="FP8/Q8_0/INT8",$W3,IF($O3="Q6_K/6-bit",$X3,IF($O3="Q5_K_M/5-bit",$Y3,IF($O3="Q4_K_M/4-bit",$Z3,IF($O3="Q3_K_M/3-bit",$AA3,IF($O3="Q2_K/2-bit",$AB3,"")))))))</x:f>
        <x:v>81.9</x:v>
      </x:c>
      <x:c r="Q3" s="20" t="str">
        <x:f>IF($M3="NO FIT","Excluded",IF(OR($M3="Q3_K_M/3-bit",$M3="Q2_K/2-bit"),"Aggressive quant only",IF($P3&lt;=README!$B$9,"Comfortable",IF($P3&lt;=README!$B$10,"Near limit","Tight"))))</x:f>
        <x:v>Aggressive quant only</x:v>
      </x:c>
      <x:c r="R3" s="20" t="inlineStr">
        <x:is>
          <x:t xml:space="preserve">Likely only practical under 100GB with aggressive quant.</x:t>
        </x:is>
      </x:c>
      <x:c r="S3" s="14" t="inlineStr">
        <x:is>
          <x:t xml:space="preserve">stable_series_pattern</x:t>
        </x:is>
      </x:c>
      <x:c r="T3" s="17" t="inlineStr">
        <x:is>
          <x:t xml:space="preserve">https://huggingface.co/deepseek-ai</x:t>
        </x:is>
      </x:c>
      <x:c r="U3" s="14" t="inlineStr">
        <x:is>
          <x:t xml:space="preserve">Transformers; community GGUF/AWQ</x:t>
        </x:is>
      </x:c>
      <x:c r="V3" s="15">
        <x:f>ROUND($D3*2.0*IF($I3="MoE",README!$B$14,README!$B$13)*(1+README!$B$11)+README!$B$12,1)</x:f>
        <x:v>627</x:v>
      </x:c>
      <x:c r="W3" s="15">
        <x:f>ROUND($D3*1.0*IF($I3="MoE",README!$B$14,README!$B$13)*(1+README!$B$11)+README!$B$12,1)</x:f>
        <x:v>315.5</x:v>
      </x:c>
      <x:c r="X3" s="15">
        <x:f>ROUND($D3*0.75*IF($I3="MoE",README!$B$14,README!$B$13)*(1+README!$B$11)+README!$B$12,1)</x:f>
        <x:v>237.6</x:v>
      </x:c>
      <x:c r="Y3" s="15">
        <x:f>ROUND($D3*0.625*IF($I3="MoE",README!$B$14,README!$B$13)*(1+README!$B$11)+README!$B$12,1)</x:f>
        <x:v>198.7</x:v>
      </x:c>
      <x:c r="Z3" s="15">
        <x:f>ROUND($D3*0.5*IF($I3="MoE",README!$B$14,README!$B$13)*(1+README!$B$11)+README!$B$12,1)</x:f>
        <x:v>159.8</x:v>
      </x:c>
      <x:c r="AA3" s="15">
        <x:f>ROUND($D3*0.375*IF($I3="MoE",README!$B$14,README!$B$13)*(1+README!$B$11)+README!$B$12,1)</x:f>
        <x:v>120.8</x:v>
      </x:c>
      <x:c r="AB3" s="15">
        <x:f>ROUND($D3*0.25*IF($I3="MoE",README!$B$14,README!$B$13)*(1+README!$B$11)+README!$B$12,1)</x:f>
        <x:v>81.9</x:v>
      </x:c>
    </x:row>
    <x:row r="4">
      <x:c r="A4" t="inlineStr">
        <x:is>
          <x:t xml:space="preserve">DeepSeek</x:t>
        </x:is>
      </x:c>
      <x:c r="B4" s="14" t="inlineStr">
        <x:is>
          <x:t xml:space="preserve">deepseek-ai/DeepSeek-V2-Chat</x:t>
        </x:is>
      </x:c>
      <x:c r="C4" s="14" t="inlineStr">
        <x:is>
          <x:t xml:space="preserve">DeepSeek-V2-Chat</x:t>
        </x:is>
      </x:c>
      <x:c r="D4" s="15" t="n">
        <x:v>236</x:v>
      </x:c>
      <x:c r="E4" s="15" t="n">
        <x:v>21</x:v>
      </x:c>
      <x:c r="F4" s="14" t="inlineStr">
        <x:is>
          <x:t xml:space="preserve">general chat</x:t>
        </x:is>
      </x:c>
      <x:c r="G4" s="14" t="inlineStr">
        <x:is>
          <x:t xml:space="preserve">text</x:t>
        </x:is>
      </x:c>
      <x:c r="H4" t="inlineStr">
        <x:is>
          <x:t xml:space="preserve">chat</x:t>
        </x:is>
      </x:c>
      <x:c r="I4" t="inlineStr">
        <x:is>
          <x:t xml:space="preserve">MoE</x:t>
        </x:is>
      </x:c>
      <x:c r="J4" s="23" t="inlineStr">
        <x:is>
          <x:t xml:space="preserve">open</x:t>
        </x:is>
      </x:c>
      <x:c r="K4" s="17" t="inlineStr">
        <x:is>
          <x:t xml:space="preserve">https://huggingface.co/deepseek-ai/DeepSeek-V2-Chat</x:t>
        </x:is>
      </x:c>
      <x:c r="L4" s="14" t="inlineStr">
        <x:is>
          <x:t xml:space="preserve"/>
        </x:is>
      </x:c>
      <x:c r="M4" s="14" t="str">
        <x:f>IF($V4&lt;=README!$B$8,"BF16/FP16",IF($W4&lt;=README!$B$8,"FP8/Q8_0/INT8",IF($X4&lt;=README!$B$8,"Q6_K/6-bit",IF($Y4&lt;=README!$B$8,"Q5_K_M/5-bit",IF($Z4&lt;=README!$B$8,"Q4_K_M/4-bit",IF($AA4&lt;=README!$B$8,"Q3_K_M/3-bit",IF($AB4&lt;=README!$B$8,"Q2_K/2-bit","NO FIT")))))))</x:f>
        <x:v>Q2_K/2-bit</x:v>
      </x:c>
      <x:c r="N4" s="15">
        <x:f>IF($M4="BF16/FP16",$V4,IF($M4="FP8/Q8_0/INT8",$W4,IF($M4="Q6_K/6-bit",$X4,IF($M4="Q5_K_M/5-bit",$Y4,IF($M4="Q4_K_M/4-bit",$Z4,IF($M4="Q3_K_M/3-bit",$AA4,IF($M4="Q2_K/2-bit",$AB4,"")))))))</x:f>
        <x:v>81.9</x:v>
      </x:c>
      <x:c r="O4" s="14" t="str">
        <x:f>IF($V4&lt;=README!$B$10,"BF16/FP16",IF($W4&lt;=README!$B$10,"FP8/Q8_0/INT8",IF($X4&lt;=README!$B$10,"Q6_K/6-bit",IF($Y4&lt;=README!$B$10,"Q5_K_M/5-bit",IF($Z4&lt;=README!$B$10,"Q4_K_M/4-bit",IF($AA4&lt;=README!$B$10,"Q3_K_M/3-bit",IF($AB4&lt;=README!$B$10,"Q2_K/2-bit",$M4)))))))</x:f>
        <x:v>Q2_K/2-bit</x:v>
      </x:c>
      <x:c r="P4" s="15">
        <x:f>IF($O4="BF16/FP16",$V4,IF($O4="FP8/Q8_0/INT8",$W4,IF($O4="Q6_K/6-bit",$X4,IF($O4="Q5_K_M/5-bit",$Y4,IF($O4="Q4_K_M/4-bit",$Z4,IF($O4="Q3_K_M/3-bit",$AA4,IF($O4="Q2_K/2-bit",$AB4,"")))))))</x:f>
        <x:v>81.9</x:v>
      </x:c>
      <x:c r="Q4" s="14" t="str">
        <x:f>IF($M4="NO FIT","Excluded",IF(OR($M4="Q3_K_M/3-bit",$M4="Q2_K/2-bit"),"Aggressive quant only",IF($P4&lt;=README!$B$9,"Comfortable",IF($P4&lt;=README!$B$10,"Near limit","Tight"))))</x:f>
        <x:v>Aggressive quant only</x:v>
      </x:c>
      <x:c r="R4" s="18" t="inlineStr">
        <x:is>
          <x:t xml:space="preserve">Likely only practical under 100GB with aggressive quant.</x:t>
        </x:is>
      </x:c>
      <x:c r="S4" s="14" t="inlineStr">
        <x:is>
          <x:t xml:space="preserve">stable_series_pattern</x:t>
        </x:is>
      </x:c>
      <x:c r="T4" s="17" t="inlineStr">
        <x:is>
          <x:t xml:space="preserve">https://huggingface.co/deepseek-ai</x:t>
        </x:is>
      </x:c>
      <x:c r="U4" s="14" t="inlineStr">
        <x:is>
          <x:t xml:space="preserve">Transformers; community GGUF/AWQ</x:t>
        </x:is>
      </x:c>
      <x:c r="V4" s="15">
        <x:f>ROUND($D4*2.0*IF($I4="MoE",README!$B$14,README!$B$13)*(1+README!$B$11)+README!$B$12,1)</x:f>
        <x:v>627</x:v>
      </x:c>
      <x:c r="W4" s="15">
        <x:f>ROUND($D4*1.0*IF($I4="MoE",README!$B$14,README!$B$13)*(1+README!$B$11)+README!$B$12,1)</x:f>
        <x:v>315.5</x:v>
      </x:c>
      <x:c r="X4" s="15">
        <x:f>ROUND($D4*0.75*IF($I4="MoE",README!$B$14,README!$B$13)*(1+README!$B$11)+README!$B$12,1)</x:f>
        <x:v>237.6</x:v>
      </x:c>
      <x:c r="Y4" s="15">
        <x:f>ROUND($D4*0.625*IF($I4="MoE",README!$B$14,README!$B$13)*(1+README!$B$11)+README!$B$12,1)</x:f>
        <x:v>198.7</x:v>
      </x:c>
      <x:c r="Z4" s="15">
        <x:f>ROUND($D4*0.5*IF($I4="MoE",README!$B$14,README!$B$13)*(1+README!$B$11)+README!$B$12,1)</x:f>
        <x:v>159.8</x:v>
      </x:c>
      <x:c r="AA4" s="15">
        <x:f>ROUND($D4*0.375*IF($I4="MoE",README!$B$14,README!$B$13)*(1+README!$B$11)+README!$B$12,1)</x:f>
        <x:v>120.8</x:v>
      </x:c>
      <x:c r="AB4" s="15">
        <x:f>ROUND($D4*0.25*IF($I4="MoE",README!$B$14,README!$B$13)*(1+README!$B$11)+README!$B$12,1)</x:f>
        <x:v>81.9</x:v>
      </x:c>
    </x:row>
    <x:row r="5">
      <x:c r="A5" s="19" t="inlineStr">
        <x:is>
          <x:t xml:space="preserve">DeepSeek</x:t>
        </x:is>
      </x:c>
      <x:c r="B5" s="20" t="inlineStr">
        <x:is>
          <x:t xml:space="preserve">deepseek-ai/DeepSeek-V2.5</x:t>
        </x:is>
      </x:c>
      <x:c r="C5" s="20" t="inlineStr">
        <x:is>
          <x:t xml:space="preserve">DeepSeek-V2.5</x:t>
        </x:is>
      </x:c>
      <x:c r="D5" s="21" t="n">
        <x:v>236</x:v>
      </x:c>
      <x:c r="E5" s="21" t="n">
        <x:v>21</x:v>
      </x:c>
      <x:c r="F5" s="20" t="inlineStr">
        <x:is>
          <x:t xml:space="preserve">general chat</x:t>
        </x:is>
      </x:c>
      <x:c r="G5" s="20" t="inlineStr">
        <x:is>
          <x:t xml:space="preserve">text</x:t>
        </x:is>
      </x:c>
      <x:c r="H5" s="19" t="inlineStr">
        <x:is>
          <x:t xml:space="preserve">chat</x:t>
        </x:is>
      </x:c>
      <x:c r="I5" s="19" t="inlineStr">
        <x:is>
          <x:t xml:space="preserve">MoE</x:t>
        </x:is>
      </x:c>
      <x:c r="J5" s="19" t="inlineStr">
        <x:is>
          <x:t xml:space="preserve">open</x:t>
        </x:is>
      </x:c>
      <x:c r="K5" s="22" t="inlineStr">
        <x:is>
          <x:t xml:space="preserve">https://huggingface.co/deepseek-ai/DeepSeek-V2.5</x:t>
        </x:is>
      </x:c>
      <x:c r="L5" s="14" t="inlineStr">
        <x:is>
          <x:t xml:space="preserve"/>
        </x:is>
      </x:c>
      <x:c r="M5" s="20" t="str">
        <x:f>IF($V5&lt;=README!$B$8,"BF16/FP16",IF($W5&lt;=README!$B$8,"FP8/Q8_0/INT8",IF($X5&lt;=README!$B$8,"Q6_K/6-bit",IF($Y5&lt;=README!$B$8,"Q5_K_M/5-bit",IF($Z5&lt;=README!$B$8,"Q4_K_M/4-bit",IF($AA5&lt;=README!$B$8,"Q3_K_M/3-bit",IF($AB5&lt;=README!$B$8,"Q2_K/2-bit","NO FIT")))))))</x:f>
        <x:v>Q2_K/2-bit</x:v>
      </x:c>
      <x:c r="N5" s="21">
        <x:f>IF($M5="BF16/FP16",$V5,IF($M5="FP8/Q8_0/INT8",$W5,IF($M5="Q6_K/6-bit",$X5,IF($M5="Q5_K_M/5-bit",$Y5,IF($M5="Q4_K_M/4-bit",$Z5,IF($M5="Q3_K_M/3-bit",$AA5,IF($M5="Q2_K/2-bit",$AB5,"")))))))</x:f>
        <x:v>81.9</x:v>
      </x:c>
      <x:c r="O5" s="20" t="str">
        <x:f>IF($V5&lt;=README!$B$10,"BF16/FP16",IF($W5&lt;=README!$B$10,"FP8/Q8_0/INT8",IF($X5&lt;=README!$B$10,"Q6_K/6-bit",IF($Y5&lt;=README!$B$10,"Q5_K_M/5-bit",IF($Z5&lt;=README!$B$10,"Q4_K_M/4-bit",IF($AA5&lt;=README!$B$10,"Q3_K_M/3-bit",IF($AB5&lt;=README!$B$10,"Q2_K/2-bit",$M5)))))))</x:f>
        <x:v>Q2_K/2-bit</x:v>
      </x:c>
      <x:c r="P5" s="21">
        <x:f>IF($O5="BF16/FP16",$V5,IF($O5="FP8/Q8_0/INT8",$W5,IF($O5="Q6_K/6-bit",$X5,IF($O5="Q5_K_M/5-bit",$Y5,IF($O5="Q4_K_M/4-bit",$Z5,IF($O5="Q3_K_M/3-bit",$AA5,IF($O5="Q2_K/2-bit",$AB5,"")))))))</x:f>
        <x:v>81.9</x:v>
      </x:c>
      <x:c r="Q5" s="20" t="str">
        <x:f>IF($M5="NO FIT","Excluded",IF(OR($M5="Q3_K_M/3-bit",$M5="Q2_K/2-bit"),"Aggressive quant only",IF($P5&lt;=README!$B$9,"Comfortable",IF($P5&lt;=README!$B$10,"Near limit","Tight"))))</x:f>
        <x:v>Aggressive quant only</x:v>
      </x:c>
      <x:c r="R5" s="20" t="inlineStr">
        <x:is>
          <x:t xml:space="preserve">Likely only practical under 100GB with aggressive quant.</x:t>
        </x:is>
      </x:c>
      <x:c r="S5" s="14" t="inlineStr">
        <x:is>
          <x:t xml:space="preserve">stable_series_pattern</x:t>
        </x:is>
      </x:c>
      <x:c r="T5" s="17" t="inlineStr">
        <x:is>
          <x:t xml:space="preserve">https://huggingface.co/deepseek-ai</x:t>
        </x:is>
      </x:c>
      <x:c r="U5" s="14" t="inlineStr">
        <x:is>
          <x:t xml:space="preserve">Transformers; community GGUF/AWQ</x:t>
        </x:is>
      </x:c>
      <x:c r="V5" s="15">
        <x:f>ROUND($D5*2.0*IF($I5="MoE",README!$B$14,README!$B$13)*(1+README!$B$11)+README!$B$12,1)</x:f>
        <x:v>627</x:v>
      </x:c>
      <x:c r="W5" s="15">
        <x:f>ROUND($D5*1.0*IF($I5="MoE",README!$B$14,README!$B$13)*(1+README!$B$11)+README!$B$12,1)</x:f>
        <x:v>315.5</x:v>
      </x:c>
      <x:c r="X5" s="15">
        <x:f>ROUND($D5*0.75*IF($I5="MoE",README!$B$14,README!$B$13)*(1+README!$B$11)+README!$B$12,1)</x:f>
        <x:v>237.6</x:v>
      </x:c>
      <x:c r="Y5" s="15">
        <x:f>ROUND($D5*0.625*IF($I5="MoE",README!$B$14,README!$B$13)*(1+README!$B$11)+README!$B$12,1)</x:f>
        <x:v>198.7</x:v>
      </x:c>
      <x:c r="Z5" s="15">
        <x:f>ROUND($D5*0.5*IF($I5="MoE",README!$B$14,README!$B$13)*(1+README!$B$11)+README!$B$12,1)</x:f>
        <x:v>159.8</x:v>
      </x:c>
      <x:c r="AA5" s="15">
        <x:f>ROUND($D5*0.375*IF($I5="MoE",README!$B$14,README!$B$13)*(1+README!$B$11)+README!$B$12,1)</x:f>
        <x:v>120.8</x:v>
      </x:c>
      <x:c r="AB5" s="15">
        <x:f>ROUND($D5*0.25*IF($I5="MoE",README!$B$14,README!$B$13)*(1+README!$B$11)+README!$B$12,1)</x:f>
        <x:v>81.9</x:v>
      </x:c>
    </x:row>
    <x:row r="6">
      <x:c r="A6" t="inlineStr">
        <x:is>
          <x:t xml:space="preserve">DeepSeek</x:t>
        </x:is>
      </x:c>
      <x:c r="B6" s="14" t="inlineStr">
        <x:is>
          <x:t xml:space="preserve">deepseek-ai/DeepSeek-V2.5-1210</x:t>
        </x:is>
      </x:c>
      <x:c r="C6" s="14" t="inlineStr">
        <x:is>
          <x:t xml:space="preserve">DeepSeek-V2.5-1210</x:t>
        </x:is>
      </x:c>
      <x:c r="D6" s="15" t="n">
        <x:v>236</x:v>
      </x:c>
      <x:c r="E6" s="15" t="n">
        <x:v>21</x:v>
      </x:c>
      <x:c r="F6" s="14" t="inlineStr">
        <x:is>
          <x:t xml:space="preserve">general chat</x:t>
        </x:is>
      </x:c>
      <x:c r="G6" s="14" t="inlineStr">
        <x:is>
          <x:t xml:space="preserve">text</x:t>
        </x:is>
      </x:c>
      <x:c r="H6" t="inlineStr">
        <x:is>
          <x:t xml:space="preserve">chat</x:t>
        </x:is>
      </x:c>
      <x:c r="I6" t="inlineStr">
        <x:is>
          <x:t xml:space="preserve">MoE</x:t>
        </x:is>
      </x:c>
      <x:c r="J6" s="23" t="inlineStr">
        <x:is>
          <x:t xml:space="preserve">open</x:t>
        </x:is>
      </x:c>
      <x:c r="K6" s="17" t="inlineStr">
        <x:is>
          <x:t xml:space="preserve">https://huggingface.co/deepseek-ai/DeepSeek-V2.5-1210</x:t>
        </x:is>
      </x:c>
      <x:c r="L6" s="14" t="inlineStr">
        <x:is>
          <x:t xml:space="preserve"/>
        </x:is>
      </x:c>
      <x:c r="M6" s="14" t="str">
        <x:f>IF($V6&lt;=README!$B$8,"BF16/FP16",IF($W6&lt;=README!$B$8,"FP8/Q8_0/INT8",IF($X6&lt;=README!$B$8,"Q6_K/6-bit",IF($Y6&lt;=README!$B$8,"Q5_K_M/5-bit",IF($Z6&lt;=README!$B$8,"Q4_K_M/4-bit",IF($AA6&lt;=README!$B$8,"Q3_K_M/3-bit",IF($AB6&lt;=README!$B$8,"Q2_K/2-bit","NO FIT")))))))</x:f>
        <x:v>Q2_K/2-bit</x:v>
      </x:c>
      <x:c r="N6" s="15">
        <x:f>IF($M6="BF16/FP16",$V6,IF($M6="FP8/Q8_0/INT8",$W6,IF($M6="Q6_K/6-bit",$X6,IF($M6="Q5_K_M/5-bit",$Y6,IF($M6="Q4_K_M/4-bit",$Z6,IF($M6="Q3_K_M/3-bit",$AA6,IF($M6="Q2_K/2-bit",$AB6,"")))))))</x:f>
        <x:v>81.9</x:v>
      </x:c>
      <x:c r="O6" s="14" t="str">
        <x:f>IF($V6&lt;=README!$B$10,"BF16/FP16",IF($W6&lt;=README!$B$10,"FP8/Q8_0/INT8",IF($X6&lt;=README!$B$10,"Q6_K/6-bit",IF($Y6&lt;=README!$B$10,"Q5_K_M/5-bit",IF($Z6&lt;=README!$B$10,"Q4_K_M/4-bit",IF($AA6&lt;=README!$B$10,"Q3_K_M/3-bit",IF($AB6&lt;=README!$B$10,"Q2_K/2-bit",$M6)))))))</x:f>
        <x:v>Q2_K/2-bit</x:v>
      </x:c>
      <x:c r="P6" s="15">
        <x:f>IF($O6="BF16/FP16",$V6,IF($O6="FP8/Q8_0/INT8",$W6,IF($O6="Q6_K/6-bit",$X6,IF($O6="Q5_K_M/5-bit",$Y6,IF($O6="Q4_K_M/4-bit",$Z6,IF($O6="Q3_K_M/3-bit",$AA6,IF($O6="Q2_K/2-bit",$AB6,"")))))))</x:f>
        <x:v>81.9</x:v>
      </x:c>
      <x:c r="Q6" s="14" t="str">
        <x:f>IF($M6="NO FIT","Excluded",IF(OR($M6="Q3_K_M/3-bit",$M6="Q2_K/2-bit"),"Aggressive quant only",IF($P6&lt;=README!$B$9,"Comfortable",IF($P6&lt;=README!$B$10,"Near limit","Tight"))))</x:f>
        <x:v>Aggressive quant only</x:v>
      </x:c>
      <x:c r="R6" s="18" t="inlineStr">
        <x:is>
          <x:t xml:space="preserve">Likely only practical under 100GB with aggressive quant.</x:t>
        </x:is>
      </x:c>
      <x:c r="S6" s="14" t="inlineStr">
        <x:is>
          <x:t xml:space="preserve">stable_series_pattern</x:t>
        </x:is>
      </x:c>
      <x:c r="T6" s="17" t="inlineStr">
        <x:is>
          <x:t xml:space="preserve">https://huggingface.co/deepseek-ai</x:t>
        </x:is>
      </x:c>
      <x:c r="U6" s="14" t="inlineStr">
        <x:is>
          <x:t xml:space="preserve">Transformers; community GGUF/AWQ</x:t>
        </x:is>
      </x:c>
      <x:c r="V6" s="15">
        <x:f>ROUND($D6*2.0*IF($I6="MoE",README!$B$14,README!$B$13)*(1+README!$B$11)+README!$B$12,1)</x:f>
        <x:v>627</x:v>
      </x:c>
      <x:c r="W6" s="15">
        <x:f>ROUND($D6*1.0*IF($I6="MoE",README!$B$14,README!$B$13)*(1+README!$B$11)+README!$B$12,1)</x:f>
        <x:v>315.5</x:v>
      </x:c>
      <x:c r="X6" s="15">
        <x:f>ROUND($D6*0.75*IF($I6="MoE",README!$B$14,README!$B$13)*(1+README!$B$11)+README!$B$12,1)</x:f>
        <x:v>237.6</x:v>
      </x:c>
      <x:c r="Y6" s="15">
        <x:f>ROUND($D6*0.625*IF($I6="MoE",README!$B$14,README!$B$13)*(1+README!$B$11)+README!$B$12,1)</x:f>
        <x:v>198.7</x:v>
      </x:c>
      <x:c r="Z6" s="15">
        <x:f>ROUND($D6*0.5*IF($I6="MoE",README!$B$14,README!$B$13)*(1+README!$B$11)+README!$B$12,1)</x:f>
        <x:v>159.8</x:v>
      </x:c>
      <x:c r="AA6" s="15">
        <x:f>ROUND($D6*0.375*IF($I6="MoE",README!$B$14,README!$B$13)*(1+README!$B$11)+README!$B$12,1)</x:f>
        <x:v>120.8</x:v>
      </x:c>
      <x:c r="AB6" s="15">
        <x:f>ROUND($D6*0.25*IF($I6="MoE",README!$B$14,README!$B$13)*(1+README!$B$11)+README!$B$12,1)</x:f>
        <x:v>81.9</x:v>
      </x:c>
    </x:row>
    <x:row r="7">
      <x:c r="A7" s="19" t="inlineStr">
        <x:is>
          <x:t xml:space="preserve">Qwen</x:t>
        </x:is>
      </x:c>
      <x:c r="B7" s="20" t="inlineStr">
        <x:is>
          <x:t xml:space="preserve">Qwen/Qwen3-235B-A22B</x:t>
        </x:is>
      </x:c>
      <x:c r="C7" s="20" t="inlineStr">
        <x:is>
          <x:t xml:space="preserve">Qwen3-235B-A22B</x:t>
        </x:is>
      </x:c>
      <x:c r="D7" s="21" t="n">
        <x:v>235</x:v>
      </x:c>
      <x:c r="E7" s="21" t="n">
        <x:v>22</x:v>
      </x:c>
      <x:c r="F7" s="20" t="inlineStr">
        <x:is>
          <x:t xml:space="preserve">general / reasoning dual-mode</x:t>
        </x:is>
      </x:c>
      <x:c r="G7" s="20" t="inlineStr">
        <x:is>
          <x:t xml:space="preserve">text</x:t>
        </x:is>
      </x:c>
      <x:c r="H7" s="19" t="inlineStr">
        <x:is>
          <x:t xml:space="preserve">dual-mode</x:t>
        </x:is>
      </x:c>
      <x:c r="I7" s="19" t="inlineStr">
        <x:is>
          <x:t xml:space="preserve">MoE</x:t>
        </x:is>
      </x:c>
      <x:c r="J7" s="19" t="inlineStr">
        <x:is>
          <x:t xml:space="preserve">open</x:t>
        </x:is>
      </x:c>
      <x:c r="K7" s="22" t="inlineStr">
        <x:is>
          <x:t xml:space="preserve">https://huggingface.co/Qwen/Qwen3-235B-A22B</x:t>
        </x:is>
      </x:c>
      <x:c r="L7" s="22" t="inlineStr">
        <x:is>
          <x:t xml:space="preserve">https://huggingface.co/Qwen/Qwen3-235B-A22B-GGUF</x:t>
        </x:is>
      </x:c>
      <x:c r="M7" s="20" t="str">
        <x:f>IF($V7&lt;=README!$B$8,"BF16/FP16",IF($W7&lt;=README!$B$8,"FP8/Q8_0/INT8",IF($X7&lt;=README!$B$8,"Q6_K/6-bit",IF($Y7&lt;=README!$B$8,"Q5_K_M/5-bit",IF($Z7&lt;=README!$B$8,"Q4_K_M/4-bit",IF($AA7&lt;=README!$B$8,"Q3_K_M/3-bit",IF($AB7&lt;=README!$B$8,"Q2_K/2-bit","NO FIT")))))))</x:f>
        <x:v>Q2_K/2-bit</x:v>
      </x:c>
      <x:c r="N7" s="21">
        <x:f>IF($M7="BF16/FP16",$V7,IF($M7="FP8/Q8_0/INT8",$W7,IF($M7="Q6_K/6-bit",$X7,IF($M7="Q5_K_M/5-bit",$Y7,IF($M7="Q4_K_M/4-bit",$Z7,IF($M7="Q3_K_M/3-bit",$AA7,IF($M7="Q2_K/2-bit",$AB7,"")))))))</x:f>
        <x:v>81.6</x:v>
      </x:c>
      <x:c r="O7" s="20" t="str">
        <x:f>IF($V7&lt;=README!$B$10,"BF16/FP16",IF($W7&lt;=README!$B$10,"FP8/Q8_0/INT8",IF($X7&lt;=README!$B$10,"Q6_K/6-bit",IF($Y7&lt;=README!$B$10,"Q5_K_M/5-bit",IF($Z7&lt;=README!$B$10,"Q4_K_M/4-bit",IF($AA7&lt;=README!$B$10,"Q3_K_M/3-bit",IF($AB7&lt;=README!$B$10,"Q2_K/2-bit",$M7)))))))</x:f>
        <x:v>Q2_K/2-bit</x:v>
      </x:c>
      <x:c r="P7" s="21">
        <x:f>IF($O7="BF16/FP16",$V7,IF($O7="FP8/Q8_0/INT8",$W7,IF($O7="Q6_K/6-bit",$X7,IF($O7="Q5_K_M/5-bit",$Y7,IF($O7="Q4_K_M/4-bit",$Z7,IF($O7="Q3_K_M/3-bit",$AA7,IF($O7="Q2_K/2-bit",$AB7,"")))))))</x:f>
        <x:v>81.6</x:v>
      </x:c>
      <x:c r="Q7" s="20" t="str">
        <x:f>IF($M7="NO FIT","Excluded",IF(OR($M7="Q3_K_M/3-bit",$M7="Q2_K/2-bit"),"Aggressive quant only",IF($P7&lt;=README!$B$9,"Comfortable",IF($P7&lt;=README!$B$10,"Near limit","Tight"))))</x:f>
        <x:v>Aggressive quant only</x:v>
      </x:c>
      <x:c r="R7" s="20" t="inlineStr">
        <x:is>
          <x:t xml:space="preserve">Very large MoE; typically only viable under 100GB with aggressive quant.</x:t>
        </x:is>
      </x:c>
      <x:c r="S7" s="14" t="inlineStr">
        <x:is>
          <x:t xml:space="preserve">current_repo_page_2026-03-27</x:t>
        </x:is>
      </x:c>
      <x:c r="T7" s="17" t="inlineStr">
        <x:is>
          <x:t xml:space="preserve">https://huggingface.co/Qwen/Qwen3-235B-A22B</x:t>
        </x:is>
      </x:c>
      <x:c r="U7" s="14" t="inlineStr">
        <x:is>
          <x:t xml:space="preserve">Transformers; GGUF; AWQ/GPTQ</x:t>
        </x:is>
      </x:c>
      <x:c r="V7" s="15">
        <x:f>ROUND($D7*2.0*IF($I7="MoE",README!$B$14,README!$B$13)*(1+README!$B$11)+README!$B$12,1)</x:f>
        <x:v>624.4</x:v>
      </x:c>
      <x:c r="W7" s="15">
        <x:f>ROUND($D7*1.0*IF($I7="MoE",README!$B$14,README!$B$13)*(1+README!$B$11)+README!$B$12,1)</x:f>
        <x:v>314.2</x:v>
      </x:c>
      <x:c r="X7" s="15">
        <x:f>ROUND($D7*0.75*IF($I7="MoE",README!$B$14,README!$B$13)*(1+README!$B$11)+README!$B$12,1)</x:f>
        <x:v>236.7</x:v>
      </x:c>
      <x:c r="Y7" s="15">
        <x:f>ROUND($D7*0.625*IF($I7="MoE",README!$B$14,README!$B$13)*(1+README!$B$11)+README!$B$12,1)</x:f>
        <x:v>197.9</x:v>
      </x:c>
      <x:c r="Z7" s="15">
        <x:f>ROUND($D7*0.5*IF($I7="MoE",README!$B$14,README!$B$13)*(1+README!$B$11)+README!$B$12,1)</x:f>
        <x:v>159.1</x:v>
      </x:c>
      <x:c r="AA7" s="15">
        <x:f>ROUND($D7*0.375*IF($I7="MoE",README!$B$14,README!$B$13)*(1+README!$B$11)+README!$B$12,1)</x:f>
        <x:v>120.3</x:v>
      </x:c>
      <x:c r="AB7" s="15">
        <x:f>ROUND($D7*0.25*IF($I7="MoE",README!$B$14,README!$B$13)*(1+README!$B$11)+README!$B$12,1)</x:f>
        <x:v>81.6</x:v>
      </x:c>
    </x:row>
    <x:row r="8">
      <x:c r="A8" t="inlineStr">
        <x:is>
          <x:t xml:space="preserve">Qwen</x:t>
        </x:is>
      </x:c>
      <x:c r="B8" s="14" t="inlineStr">
        <x:is>
          <x:t xml:space="preserve">Qwen/Qwen3-235B-A22B-Instruct-2507</x:t>
        </x:is>
      </x:c>
      <x:c r="C8" s="14" t="inlineStr">
        <x:is>
          <x:t xml:space="preserve">Qwen3-235B-A22B-Instruct-2507</x:t>
        </x:is>
      </x:c>
      <x:c r="D8" s="15" t="n">
        <x:v>235</x:v>
      </x:c>
      <x:c r="E8" s="15" t="n">
        <x:v>22</x:v>
      </x:c>
      <x:c r="F8" s="14" t="inlineStr">
        <x:is>
          <x:t xml:space="preserve">general chat</x:t>
        </x:is>
      </x:c>
      <x:c r="G8" s="14" t="inlineStr">
        <x:is>
          <x:t xml:space="preserve">text</x:t>
        </x:is>
      </x:c>
      <x:c r="H8" t="inlineStr">
        <x:is>
          <x:t xml:space="preserve">instruct</x:t>
        </x:is>
      </x:c>
      <x:c r="I8" t="inlineStr">
        <x:is>
          <x:t xml:space="preserve">MoE</x:t>
        </x:is>
      </x:c>
      <x:c r="J8" s="23" t="inlineStr">
        <x:is>
          <x:t xml:space="preserve">open</x:t>
        </x:is>
      </x:c>
      <x:c r="K8" s="17" t="inlineStr">
        <x:is>
          <x:t xml:space="preserve">https://huggingface.co/Qwen/Qwen3-235B-A22B-Instruct-2507</x:t>
        </x:is>
      </x:c>
      <x:c r="L8" s="17" t="inlineStr">
        <x:is>
          <x:t xml:space="preserve">https://huggingface.co/Qwen/Qwen3-235B-A22B-GGUF</x:t>
        </x:is>
      </x:c>
      <x:c r="M8" s="14" t="str">
        <x:f>IF($V8&lt;=README!$B$8,"BF16/FP16",IF($W8&lt;=README!$B$8,"FP8/Q8_0/INT8",IF($X8&lt;=README!$B$8,"Q6_K/6-bit",IF($Y8&lt;=README!$B$8,"Q5_K_M/5-bit",IF($Z8&lt;=README!$B$8,"Q4_K_M/4-bit",IF($AA8&lt;=README!$B$8,"Q3_K_M/3-bit",IF($AB8&lt;=README!$B$8,"Q2_K/2-bit","NO FIT")))))))</x:f>
        <x:v>Q2_K/2-bit</x:v>
      </x:c>
      <x:c r="N8" s="15">
        <x:f>IF($M8="BF16/FP16",$V8,IF($M8="FP8/Q8_0/INT8",$W8,IF($M8="Q6_K/6-bit",$X8,IF($M8="Q5_K_M/5-bit",$Y8,IF($M8="Q4_K_M/4-bit",$Z8,IF($M8="Q3_K_M/3-bit",$AA8,IF($M8="Q2_K/2-bit",$AB8,"")))))))</x:f>
        <x:v>81.6</x:v>
      </x:c>
      <x:c r="O8" s="14" t="str">
        <x:f>IF($V8&lt;=README!$B$10,"BF16/FP16",IF($W8&lt;=README!$B$10,"FP8/Q8_0/INT8",IF($X8&lt;=README!$B$10,"Q6_K/6-bit",IF($Y8&lt;=README!$B$10,"Q5_K_M/5-bit",IF($Z8&lt;=README!$B$10,"Q4_K_M/4-bit",IF($AA8&lt;=README!$B$10,"Q3_K_M/3-bit",IF($AB8&lt;=README!$B$10,"Q2_K/2-bit",$M8)))))))</x:f>
        <x:v>Q2_K/2-bit</x:v>
      </x:c>
      <x:c r="P8" s="15">
        <x:f>IF($O8="BF16/FP16",$V8,IF($O8="FP8/Q8_0/INT8",$W8,IF($O8="Q6_K/6-bit",$X8,IF($O8="Q5_K_M/5-bit",$Y8,IF($O8="Q4_K_M/4-bit",$Z8,IF($O8="Q3_K_M/3-bit",$AA8,IF($O8="Q2_K/2-bit",$AB8,"")))))))</x:f>
        <x:v>81.6</x:v>
      </x:c>
      <x:c r="Q8" s="14" t="str">
        <x:f>IF($M8="NO FIT","Excluded",IF(OR($M8="Q3_K_M/3-bit",$M8="Q2_K/2-bit"),"Aggressive quant only",IF($P8&lt;=README!$B$9,"Comfortable",IF($P8&lt;=README!$B$10,"Near limit","Tight"))))</x:f>
        <x:v>Aggressive quant only</x:v>
      </x:c>
      <x:c r="R8" s="18" t="inlineStr">
        <x:is>
          <x:t xml:space="preserve">Very large MoE; typically only viable under 100GB with aggressive quant.</x:t>
        </x:is>
      </x:c>
      <x:c r="S8" s="14" t="inlineStr">
        <x:is>
          <x:t xml:space="preserve">current_repo_page_2026-03-27</x:t>
        </x:is>
      </x:c>
      <x:c r="T8" s="17" t="inlineStr">
        <x:is>
          <x:t xml:space="preserve">https://huggingface.co/Qwen/Qwen3-235B-A22B</x:t>
        </x:is>
      </x:c>
      <x:c r="U8" s="14" t="inlineStr">
        <x:is>
          <x:t xml:space="preserve">Transformers; GGUF; AWQ/GPTQ</x:t>
        </x:is>
      </x:c>
      <x:c r="V8" s="15">
        <x:f>ROUND($D8*2.0*IF($I8="MoE",README!$B$14,README!$B$13)*(1+README!$B$11)+README!$B$12,1)</x:f>
        <x:v>624.4</x:v>
      </x:c>
      <x:c r="W8" s="15">
        <x:f>ROUND($D8*1.0*IF($I8="MoE",README!$B$14,README!$B$13)*(1+README!$B$11)+README!$B$12,1)</x:f>
        <x:v>314.2</x:v>
      </x:c>
      <x:c r="X8" s="15">
        <x:f>ROUND($D8*0.75*IF($I8="MoE",README!$B$14,README!$B$13)*(1+README!$B$11)+README!$B$12,1)</x:f>
        <x:v>236.7</x:v>
      </x:c>
      <x:c r="Y8" s="15">
        <x:f>ROUND($D8*0.625*IF($I8="MoE",README!$B$14,README!$B$13)*(1+README!$B$11)+README!$B$12,1)</x:f>
        <x:v>197.9</x:v>
      </x:c>
      <x:c r="Z8" s="15">
        <x:f>ROUND($D8*0.5*IF($I8="MoE",README!$B$14,README!$B$13)*(1+README!$B$11)+README!$B$12,1)</x:f>
        <x:v>159.1</x:v>
      </x:c>
      <x:c r="AA8" s="15">
        <x:f>ROUND($D8*0.375*IF($I8="MoE",README!$B$14,README!$B$13)*(1+README!$B$11)+README!$B$12,1)</x:f>
        <x:v>120.3</x:v>
      </x:c>
      <x:c r="AB8" s="15">
        <x:f>ROUND($D8*0.25*IF($I8="MoE",README!$B$14,README!$B$13)*(1+README!$B$11)+README!$B$12,1)</x:f>
        <x:v>81.6</x:v>
      </x:c>
    </x:row>
    <x:row r="9">
      <x:c r="A9" s="19" t="inlineStr">
        <x:is>
          <x:t xml:space="preserve">Qwen</x:t>
        </x:is>
      </x:c>
      <x:c r="B9" s="20" t="inlineStr">
        <x:is>
          <x:t xml:space="preserve">Qwen/Qwen3-235B-A22B-Thinking-2507</x:t>
        </x:is>
      </x:c>
      <x:c r="C9" s="20" t="inlineStr">
        <x:is>
          <x:t xml:space="preserve">Qwen3-235B-A22B-Thinking-2507</x:t>
        </x:is>
      </x:c>
      <x:c r="D9" s="21" t="n">
        <x:v>235</x:v>
      </x:c>
      <x:c r="E9" s="21" t="n">
        <x:v>22</x:v>
      </x:c>
      <x:c r="F9" s="20" t="inlineStr">
        <x:is>
          <x:t xml:space="preserve">reasoning</x:t>
        </x:is>
      </x:c>
      <x:c r="G9" s="20" t="inlineStr">
        <x:is>
          <x:t xml:space="preserve">text</x:t>
        </x:is>
      </x:c>
      <x:c r="H9" s="19" t="inlineStr">
        <x:is>
          <x:t xml:space="preserve">reasoning</x:t>
        </x:is>
      </x:c>
      <x:c r="I9" s="19" t="inlineStr">
        <x:is>
          <x:t xml:space="preserve">MoE</x:t>
        </x:is>
      </x:c>
      <x:c r="J9" s="19" t="inlineStr">
        <x:is>
          <x:t xml:space="preserve">open</x:t>
        </x:is>
      </x:c>
      <x:c r="K9" s="22" t="inlineStr">
        <x:is>
          <x:t xml:space="preserve">https://huggingface.co/Qwen/Qwen3-235B-A22B-Thinking-2507</x:t>
        </x:is>
      </x:c>
      <x:c r="L9" s="22" t="inlineStr">
        <x:is>
          <x:t xml:space="preserve">https://huggingface.co/Qwen/Qwen3-235B-A22B-GGUF</x:t>
        </x:is>
      </x:c>
      <x:c r="M9" s="20" t="str">
        <x:f>IF($V9&lt;=README!$B$8,"BF16/FP16",IF($W9&lt;=README!$B$8,"FP8/Q8_0/INT8",IF($X9&lt;=README!$B$8,"Q6_K/6-bit",IF($Y9&lt;=README!$B$8,"Q5_K_M/5-bit",IF($Z9&lt;=README!$B$8,"Q4_K_M/4-bit",IF($AA9&lt;=README!$B$8,"Q3_K_M/3-bit",IF($AB9&lt;=README!$B$8,"Q2_K/2-bit","NO FIT")))))))</x:f>
        <x:v>Q2_K/2-bit</x:v>
      </x:c>
      <x:c r="N9" s="21">
        <x:f>IF($M9="BF16/FP16",$V9,IF($M9="FP8/Q8_0/INT8",$W9,IF($M9="Q6_K/6-bit",$X9,IF($M9="Q5_K_M/5-bit",$Y9,IF($M9="Q4_K_M/4-bit",$Z9,IF($M9="Q3_K_M/3-bit",$AA9,IF($M9="Q2_K/2-bit",$AB9,"")))))))</x:f>
        <x:v>81.6</x:v>
      </x:c>
      <x:c r="O9" s="20" t="str">
        <x:f>IF($V9&lt;=README!$B$10,"BF16/FP16",IF($W9&lt;=README!$B$10,"FP8/Q8_0/INT8",IF($X9&lt;=README!$B$10,"Q6_K/6-bit",IF($Y9&lt;=README!$B$10,"Q5_K_M/5-bit",IF($Z9&lt;=README!$B$10,"Q4_K_M/4-bit",IF($AA9&lt;=README!$B$10,"Q3_K_M/3-bit",IF($AB9&lt;=README!$B$10,"Q2_K/2-bit",$M9)))))))</x:f>
        <x:v>Q2_K/2-bit</x:v>
      </x:c>
      <x:c r="P9" s="21">
        <x:f>IF($O9="BF16/FP16",$V9,IF($O9="FP8/Q8_0/INT8",$W9,IF($O9="Q6_K/6-bit",$X9,IF($O9="Q5_K_M/5-bit",$Y9,IF($O9="Q4_K_M/4-bit",$Z9,IF($O9="Q3_K_M/3-bit",$AA9,IF($O9="Q2_K/2-bit",$AB9,"")))))))</x:f>
        <x:v>81.6</x:v>
      </x:c>
      <x:c r="Q9" s="20" t="str">
        <x:f>IF($M9="NO FIT","Excluded",IF(OR($M9="Q3_K_M/3-bit",$M9="Q2_K/2-bit"),"Aggressive quant only",IF($P9&lt;=README!$B$9,"Comfortable",IF($P9&lt;=README!$B$10,"Near limit","Tight"))))</x:f>
        <x:v>Aggressive quant only</x:v>
      </x:c>
      <x:c r="R9" s="20" t="inlineStr">
        <x:is>
          <x:t xml:space="preserve">Very large MoE; typically only viable under 100GB with aggressive quant.</x:t>
        </x:is>
      </x:c>
      <x:c r="S9" s="14" t="inlineStr">
        <x:is>
          <x:t xml:space="preserve">current_repo_page_2026-03-27</x:t>
        </x:is>
      </x:c>
      <x:c r="T9" s="17" t="inlineStr">
        <x:is>
          <x:t xml:space="preserve">https://huggingface.co/Qwen/Qwen3-235B-A22B</x:t>
        </x:is>
      </x:c>
      <x:c r="U9" s="14" t="inlineStr">
        <x:is>
          <x:t xml:space="preserve">Transformers; GGUF; AWQ/GPTQ</x:t>
        </x:is>
      </x:c>
      <x:c r="V9" s="15">
        <x:f>ROUND($D9*2.0*IF($I9="MoE",README!$B$14,README!$B$13)*(1+README!$B$11)+README!$B$12,1)</x:f>
        <x:v>624.4</x:v>
      </x:c>
      <x:c r="W9" s="15">
        <x:f>ROUND($D9*1.0*IF($I9="MoE",README!$B$14,README!$B$13)*(1+README!$B$11)+README!$B$12,1)</x:f>
        <x:v>314.2</x:v>
      </x:c>
      <x:c r="X9" s="15">
        <x:f>ROUND($D9*0.75*IF($I9="MoE",README!$B$14,README!$B$13)*(1+README!$B$11)+README!$B$12,1)</x:f>
        <x:v>236.7</x:v>
      </x:c>
      <x:c r="Y9" s="15">
        <x:f>ROUND($D9*0.625*IF($I9="MoE",README!$B$14,README!$B$13)*(1+README!$B$11)+README!$B$12,1)</x:f>
        <x:v>197.9</x:v>
      </x:c>
      <x:c r="Z9" s="15">
        <x:f>ROUND($D9*0.5*IF($I9="MoE",README!$B$14,README!$B$13)*(1+README!$B$11)+README!$B$12,1)</x:f>
        <x:v>159.1</x:v>
      </x:c>
      <x:c r="AA9" s="15">
        <x:f>ROUND($D9*0.375*IF($I9="MoE",README!$B$14,README!$B$13)*(1+README!$B$11)+README!$B$12,1)</x:f>
        <x:v>120.3</x:v>
      </x:c>
      <x:c r="AB9" s="15">
        <x:f>ROUND($D9*0.25*IF($I9="MoE",README!$B$14,README!$B$13)*(1+README!$B$11)+README!$B$12,1)</x:f>
        <x:v>81.6</x:v>
      </x:c>
    </x:row>
  </x:sheetData>
  <x:conditionalFormatting sqref="Q2:Q9">
    <x:cfRule type="expression" dxfId="0" priority="1">
      <x:formula>EXACT(Q2,"Comfortable")</x:formula>
    </x:cfRule>
    <x:cfRule type="expression" dxfId="1" priority="2">
      <x:formula>EXACT(Q2,"Near limit")</x:formula>
    </x:cfRule>
    <x:cfRule type="expression" dxfId="2" priority="3">
      <x:formula>EXACT(Q2,"Tight")</x:formula>
    </x:cfRule>
    <x:cfRule type="expression" dxfId="3" priority="4">
      <x:formula>EXACT(Q2,"Aggressive quant only")</x:formula>
    </x:cfRule>
    <x:cfRule type="expression" dxfId="4" priority="5">
      <x:formula>EXACT(Q2,"Excluded")</x:formula>
    </x:cfRule>
  </x:conditionalFormatting>
  <x:pageMargins left="0.7" right="0.7" top="0.75" bottom="0.75" header="0.3" footer="0.3"/>
  <x:legacyDrawing xmlns:r="http://schemas.openxmlformats.org/officeDocument/2006/relationships" r:id="R262754e39aca4d29"/>
</x:worksheet>
</file>

<file path=xl/worksheets/sheet5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44" customWidth="1"/>
    <x:col min="3" max="3" width="28" customWidth="1"/>
    <x:col min="4" max="4" width="12" customWidth="1"/>
    <x:col min="5" max="5" width="12" customWidth="1"/>
    <x:col min="6" max="6" width="18" customWidth="1"/>
    <x:col min="7" max="7" width="14" customWidth="1"/>
    <x:col min="8" max="8" width="12" customWidth="1"/>
    <x:col min="9" max="9" width="12" customWidth="1"/>
    <x:col min="10" max="10" width="18" customWidth="1"/>
    <x:col min="11" max="11" width="38" customWidth="1"/>
    <x:col min="12" max="12" width="38" customWidth="1"/>
    <x:col min="13" max="13" width="22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40" customWidth="1"/>
    <x:col min="19" max="19" width="20" hidden="1" customWidth="1"/>
    <x:col min="20" max="20" width="36" hidden="1" customWidth="1"/>
    <x:col min="21" max="21" width="26" hidden="1" customWidth="1"/>
    <x:col min="22" max="22" width="12" hidden="1" customWidth="1"/>
    <x:col min="23" max="23" width="12" hidden="1" customWidth="1"/>
    <x:col min="24" max="24" width="12" hidden="1" customWidth="1"/>
    <x:col min="25" max="25" width="12" hidden="1" customWidth="1"/>
    <x:col min="26" max="26" width="12" hidden="1" customWidth="1"/>
    <x:col min="27" max="27" width="12" hidden="1" customWidth="1"/>
    <x:col min="28" max="28" width="12" hidden="1" customWidth="1"/>
  </x:cols>
  <x:sheetData>
    <x:row r="1">
      <x:c s="12" r="A1" t="inlineStr">
        <x:is>
          <x:t xml:space="preserve">family</x:t>
        </x:is>
      </x:c>
      <x:c s="12" r="B1" t="inlineStr">
        <x:is>
          <x:t xml:space="preserve">model_id</x:t>
        </x:is>
      </x:c>
      <x:c s="12" r="C1" t="inlineStr">
        <x:is>
          <x:t xml:space="preserve">model_name</x:t>
        </x:is>
      </x:c>
      <x:c s="12" r="D1" t="inlineStr">
        <x:is>
          <x:t xml:space="preserve">total_params_b</x:t>
        </x:is>
      </x:c>
      <x:c s="12" r="E1" t="inlineStr">
        <x:is>
          <x:t xml:space="preserve">active_params_b</x:t>
        </x:is>
      </x:c>
      <x:c s="12" r="F1" t="inlineStr">
        <x:is>
          <x:t xml:space="preserve">primary_use</x:t>
        </x:is>
      </x:c>
      <x:c s="12" r="G1" t="inlineStr">
        <x:is>
          <x:t xml:space="preserve">modality</x:t>
        </x:is>
      </x:c>
      <x:c s="12" r="H1" t="inlineStr">
        <x:is>
          <x:t xml:space="preserve">variant</x:t>
        </x:is>
      </x:c>
      <x:c s="12" r="I1" t="inlineStr">
        <x:is>
          <x:t xml:space="preserve">architecture</x:t>
        </x:is>
      </x:c>
      <x:c s="12" r="J1" t="inlineStr">
        <x:is>
          <x:t xml:space="preserve">access</x:t>
        </x:is>
      </x:c>
      <x:c s="12" r="K1" t="inlineStr">
        <x:is>
          <x:t xml:space="preserve">official_hf_link</x:t>
        </x:is>
      </x:c>
      <x:c s="12" r="L1" t="inlineStr">
        <x:is>
          <x:t xml:space="preserve">direct_quant_hf_link</x:t>
        </x:is>
      </x:c>
      <x:c s="12" r="M1" t="inlineStr">
        <x:is>
          <x:t xml:space="preserve">highest_quality_quant_under_100gb</x:t>
        </x:is>
      </x:c>
      <x:c s="12" r="N1" t="inlineStr">
        <x:is>
          <x:t xml:space="preserve">highest_est_practical_gb</x:t>
        </x:is>
      </x:c>
      <x:c s="12" r="O1" t="inlineStr">
        <x:is>
          <x:t xml:space="preserve">balanced_quant</x:t>
        </x:is>
      </x:c>
      <x:c s="12" r="P1" t="inlineStr">
        <x:is>
          <x:t xml:space="preserve">balanced_est_practical_gb</x:t>
        </x:is>
      </x:c>
      <x:c s="12" r="Q1" t="inlineStr">
        <x:is>
          <x:t xml:space="preserve">fit_tier</x:t>
        </x:is>
      </x:c>
      <x:c s="12" r="R1" t="inlineStr">
        <x:is>
          <x:t xml:space="preserve">notes</x:t>
        </x:is>
      </x:c>
      <x:c s="12" r="S1" t="inlineStr">
        <x:is>
          <x:t xml:space="preserve">verification_status</x:t>
        </x:is>
      </x:c>
      <x:c s="12" r="T1" t="inlineStr">
        <x:is>
          <x:t xml:space="preserve">family_source_url</x:t>
        </x:is>
      </x:c>
      <x:c s="12" r="U1" t="inlineStr">
        <x:is>
          <x:t xml:space="preserve">common_local_formats</x:t>
        </x:is>
      </x:c>
      <x:c s="12" r="V1" t="inlineStr">
        <x:is>
          <x:t xml:space="preserve">bf16_mem</x:t>
        </x:is>
      </x:c>
      <x:c s="12" r="W1" t="inlineStr">
        <x:is>
          <x:t xml:space="preserve">q8_mem</x:t>
        </x:is>
      </x:c>
      <x:c s="12" r="X1" t="inlineStr">
        <x:is>
          <x:t xml:space="preserve">q6_mem</x:t>
        </x:is>
      </x:c>
      <x:c s="12" r="Y1" t="inlineStr">
        <x:is>
          <x:t xml:space="preserve">q5_mem</x:t>
        </x:is>
      </x:c>
      <x:c s="12" r="Z1" t="inlineStr">
        <x:is>
          <x:t xml:space="preserve">q4_mem</x:t>
        </x:is>
      </x:c>
      <x:c s="12" r="AA1" t="inlineStr">
        <x:is>
          <x:t xml:space="preserve">q3_mem</x:t>
        </x:is>
      </x:c>
      <x:c s="12" r="AB1" t="inlineStr">
        <x:is>
          <x:t xml:space="preserve">q2_mem</x:t>
        </x:is>
      </x:c>
    </x:row>
    <x:row r="2">
      <x:c r="A2" t="inlineStr">
        <x:is>
          <x:t xml:space="preserve">DeepSeek</x:t>
        </x:is>
      </x:c>
      <x:c s="14" r="B2" t="inlineStr">
        <x:is>
          <x:t xml:space="preserve">deepseek-ai/DeepSeek-R1</x:t>
        </x:is>
      </x:c>
      <x:c s="14" r="C2" t="inlineStr">
        <x:is>
          <x:t xml:space="preserve">DeepSeek-R1</x:t>
        </x:is>
      </x:c>
      <x:c s="15" r="D2" t="n">
        <x:v>685</x:v>
      </x:c>
      <x:c s="15" r="E2"/>
      <x:c s="14" r="F2" t="inlineStr">
        <x:is>
          <x:t xml:space="preserve">reasoning</x:t>
        </x:is>
      </x:c>
      <x:c s="14" r="G2" t="inlineStr">
        <x:is>
          <x:t xml:space="preserve">text</x:t>
        </x:is>
      </x:c>
      <x:c r="H2" t="inlineStr">
        <x:is>
          <x:t xml:space="preserve">reasoning</x:t>
        </x:is>
      </x:c>
      <x:c r="I2" t="inlineStr">
        <x:is>
          <x:t xml:space="preserve">MoE</x:t>
        </x:is>
      </x:c>
      <x:c s="23" r="J2" t="inlineStr">
        <x:is>
          <x:t xml:space="preserve">open</x:t>
        </x:is>
      </x:c>
      <x:c s="17" r="K2" t="inlineStr">
        <x:is>
          <x:t xml:space="preserve">https://huggingface.co/deepseek-ai/DeepSeek-R1</x:t>
        </x:is>
      </x:c>
      <x:c s="14" r="L2" t="inlineStr">
        <x:is>
          <x:t xml:space="preserve"/>
        </x:is>
      </x:c>
      <x:c s="14" r="M2" t="inlineStr">
        <x:is>
          <x:t xml:space="preserve">NO FIT</x:t>
        </x:is>
      </x:c>
      <x:c s="15" r="N2"/>
      <x:c s="14" r="O2" t="inlineStr">
        <x:is>
          <x:t xml:space="preserve">NO FIT</x:t>
        </x:is>
      </x:c>
      <x:c s="15" r="P2"/>
      <x:c s="14" r="Q2" t="inlineStr">
        <x:is>
          <x:t xml:space="preserve">Excluded</x:t>
        </x:is>
      </x:c>
      <x:c s="18" r="R2" t="inlineStr">
        <x:is>
          <x:t xml:space="preserve">Too large for 100GB by this workbook's heuristic.</x:t>
        </x:is>
      </x:c>
      <x:c s="14" r="S2" t="inlineStr">
        <x:is>
          <x:t xml:space="preserve">current_org_page_2026-03-27</x:t>
        </x:is>
      </x:c>
      <x:c s="17" r="T2" t="inlineStr">
        <x:is>
          <x:t xml:space="preserve">https://huggingface.co/deepseek-ai</x:t>
        </x:is>
      </x:c>
      <x:c s="14" r="U2" t="inlineStr">
        <x:is>
          <x:t xml:space="preserve">Transformers; community GGUF/AWQ</x:t>
        </x:is>
      </x:c>
      <x:c s="15" r="V2" t="n">
        <x:v>1812.4</x:v>
      </x:c>
      <x:c s="15" r="W2" t="n">
        <x:v>908.2</x:v>
      </x:c>
      <x:c s="15" r="X2" t="n">
        <x:v>682.2</x:v>
      </x:c>
      <x:c s="15" r="Y2" t="n">
        <x:v>569.1</x:v>
      </x:c>
      <x:c s="15" r="Z2" t="n">
        <x:v>456.1</x:v>
      </x:c>
      <x:c s="15" r="AA2" t="n">
        <x:v>343.1</x:v>
      </x:c>
      <x:c s="15" r="AB2" t="n">
        <x:v>230.1</x:v>
      </x:c>
    </x:row>
    <x:row r="3">
      <x:c r="A3" t="inlineStr">
        <x:is>
          <x:t xml:space="preserve">DeepSeek</x:t>
        </x:is>
      </x:c>
      <x:c s="14" r="B3" t="inlineStr">
        <x:is>
          <x:t xml:space="preserve">deepseek-ai/DeepSeek-R1-0528</x:t>
        </x:is>
      </x:c>
      <x:c s="14" r="C3" t="inlineStr">
        <x:is>
          <x:t xml:space="preserve">DeepSeek-R1-0528</x:t>
        </x:is>
      </x:c>
      <x:c s="15" r="D3" t="n">
        <x:v>685</x:v>
      </x:c>
      <x:c s="15" r="E3"/>
      <x:c s="14" r="F3" t="inlineStr">
        <x:is>
          <x:t xml:space="preserve">reasoning</x:t>
        </x:is>
      </x:c>
      <x:c s="14" r="G3" t="inlineStr">
        <x:is>
          <x:t xml:space="preserve">text</x:t>
        </x:is>
      </x:c>
      <x:c r="H3" t="inlineStr">
        <x:is>
          <x:t xml:space="preserve">reasoning</x:t>
        </x:is>
      </x:c>
      <x:c r="I3" t="inlineStr">
        <x:is>
          <x:t xml:space="preserve">MoE</x:t>
        </x:is>
      </x:c>
      <x:c s="23" r="J3" t="inlineStr">
        <x:is>
          <x:t xml:space="preserve">open</x:t>
        </x:is>
      </x:c>
      <x:c s="17" r="K3" t="inlineStr">
        <x:is>
          <x:t xml:space="preserve">https://huggingface.co/deepseek-ai/DeepSeek-R1-0528</x:t>
        </x:is>
      </x:c>
      <x:c s="14" r="L3" t="inlineStr">
        <x:is>
          <x:t xml:space="preserve"/>
        </x:is>
      </x:c>
      <x:c s="14" r="M3" t="inlineStr">
        <x:is>
          <x:t xml:space="preserve">NO FIT</x:t>
        </x:is>
      </x:c>
      <x:c s="15" r="N3"/>
      <x:c s="14" r="O3" t="inlineStr">
        <x:is>
          <x:t xml:space="preserve">NO FIT</x:t>
        </x:is>
      </x:c>
      <x:c s="15" r="P3"/>
      <x:c s="14" r="Q3" t="inlineStr">
        <x:is>
          <x:t xml:space="preserve">Excluded</x:t>
        </x:is>
      </x:c>
      <x:c s="18" r="R3" t="inlineStr">
        <x:is>
          <x:t xml:space="preserve">Too large for 100GB by this workbook's heuristic.</x:t>
        </x:is>
      </x:c>
      <x:c s="14" r="S3" t="inlineStr">
        <x:is>
          <x:t xml:space="preserve">current_org_page_2026-03-27</x:t>
        </x:is>
      </x:c>
      <x:c s="17" r="T3" t="inlineStr">
        <x:is>
          <x:t xml:space="preserve">https://huggingface.co/deepseek-ai</x:t>
        </x:is>
      </x:c>
      <x:c s="14" r="U3" t="inlineStr">
        <x:is>
          <x:t xml:space="preserve">Transformers; community GGUF/AWQ</x:t>
        </x:is>
      </x:c>
      <x:c s="15" r="V3" t="n">
        <x:v>1812.4</x:v>
      </x:c>
      <x:c s="15" r="W3" t="n">
        <x:v>908.2</x:v>
      </x:c>
      <x:c s="15" r="X3" t="n">
        <x:v>682.2</x:v>
      </x:c>
      <x:c s="15" r="Y3" t="n">
        <x:v>569.1</x:v>
      </x:c>
      <x:c s="15" r="Z3" t="n">
        <x:v>456.1</x:v>
      </x:c>
      <x:c s="15" r="AA3" t="n">
        <x:v>343.1</x:v>
      </x:c>
      <x:c s="15" r="AB3" t="n">
        <x:v>230.1</x:v>
      </x:c>
    </x:row>
    <x:row r="4">
      <x:c r="A4" t="inlineStr">
        <x:is>
          <x:t xml:space="preserve">DeepSeek</x:t>
        </x:is>
      </x:c>
      <x:c s="14" r="B4" t="inlineStr">
        <x:is>
          <x:t xml:space="preserve">deepseek-ai/DeepSeek-V3</x:t>
        </x:is>
      </x:c>
      <x:c s="14" r="C4" t="inlineStr">
        <x:is>
          <x:t xml:space="preserve">DeepSeek-V3</x:t>
        </x:is>
      </x:c>
      <x:c s="15" r="D4" t="n">
        <x:v>685</x:v>
      </x:c>
      <x:c s="15" r="E4"/>
      <x:c s="14" r="F4" t="inlineStr">
        <x:is>
          <x:t xml:space="preserve">general</x:t>
        </x:is>
      </x:c>
      <x:c s="14" r="G4" t="inlineStr">
        <x:is>
          <x:t xml:space="preserve">text</x:t>
        </x:is>
      </x:c>
      <x:c r="H4" t="inlineStr">
        <x:is>
          <x:t xml:space="preserve">general</x:t>
        </x:is>
      </x:c>
      <x:c r="I4" t="inlineStr">
        <x:is>
          <x:t xml:space="preserve">MoE</x:t>
        </x:is>
      </x:c>
      <x:c s="23" r="J4" t="inlineStr">
        <x:is>
          <x:t xml:space="preserve">open</x:t>
        </x:is>
      </x:c>
      <x:c s="17" r="K4" t="inlineStr">
        <x:is>
          <x:t xml:space="preserve">https://huggingface.co/deepseek-ai/DeepSeek-V3</x:t>
        </x:is>
      </x:c>
      <x:c s="14" r="L4" t="inlineStr">
        <x:is>
          <x:t xml:space="preserve"/>
        </x:is>
      </x:c>
      <x:c s="14" r="M4" t="inlineStr">
        <x:is>
          <x:t xml:space="preserve">NO FIT</x:t>
        </x:is>
      </x:c>
      <x:c s="15" r="N4"/>
      <x:c s="14" r="O4" t="inlineStr">
        <x:is>
          <x:t xml:space="preserve">NO FIT</x:t>
        </x:is>
      </x:c>
      <x:c s="15" r="P4"/>
      <x:c s="14" r="Q4" t="inlineStr">
        <x:is>
          <x:t xml:space="preserve">Excluded</x:t>
        </x:is>
      </x:c>
      <x:c s="18" r="R4" t="inlineStr">
        <x:is>
          <x:t xml:space="preserve">Too large for 100GB by this workbook's heuristic.</x:t>
        </x:is>
      </x:c>
      <x:c s="14" r="S4" t="inlineStr">
        <x:is>
          <x:t xml:space="preserve">current_org_page_2026-03-27</x:t>
        </x:is>
      </x:c>
      <x:c s="17" r="T4" t="inlineStr">
        <x:is>
          <x:t xml:space="preserve">https://huggingface.co/deepseek-ai</x:t>
        </x:is>
      </x:c>
      <x:c s="14" r="U4" t="inlineStr">
        <x:is>
          <x:t xml:space="preserve">Transformers; community GGUF/AWQ</x:t>
        </x:is>
      </x:c>
      <x:c s="15" r="V4" t="n">
        <x:v>1812.4</x:v>
      </x:c>
      <x:c s="15" r="W4" t="n">
        <x:v>908.2</x:v>
      </x:c>
      <x:c s="15" r="X4" t="n">
        <x:v>682.2</x:v>
      </x:c>
      <x:c s="15" r="Y4" t="n">
        <x:v>569.1</x:v>
      </x:c>
      <x:c s="15" r="Z4" t="n">
        <x:v>456.1</x:v>
      </x:c>
      <x:c s="15" r="AA4" t="n">
        <x:v>343.1</x:v>
      </x:c>
      <x:c s="15" r="AB4" t="n">
        <x:v>230.1</x:v>
      </x:c>
    </x:row>
    <x:row r="5">
      <x:c r="A5" t="inlineStr">
        <x:is>
          <x:t xml:space="preserve">DeepSeek</x:t>
        </x:is>
      </x:c>
      <x:c s="14" r="B5" t="inlineStr">
        <x:is>
          <x:t xml:space="preserve">deepseek-ai/DeepSeek-V3-0324</x:t>
        </x:is>
      </x:c>
      <x:c s="14" r="C5" t="inlineStr">
        <x:is>
          <x:t xml:space="preserve">DeepSeek-V3-0324</x:t>
        </x:is>
      </x:c>
      <x:c s="15" r="D5" t="n">
        <x:v>685</x:v>
      </x:c>
      <x:c s="15" r="E5"/>
      <x:c s="14" r="F5" t="inlineStr">
        <x:is>
          <x:t xml:space="preserve">general</x:t>
        </x:is>
      </x:c>
      <x:c s="14" r="G5" t="inlineStr">
        <x:is>
          <x:t xml:space="preserve">text</x:t>
        </x:is>
      </x:c>
      <x:c r="H5" t="inlineStr">
        <x:is>
          <x:t xml:space="preserve">general</x:t>
        </x:is>
      </x:c>
      <x:c r="I5" t="inlineStr">
        <x:is>
          <x:t xml:space="preserve">MoE</x:t>
        </x:is>
      </x:c>
      <x:c s="23" r="J5" t="inlineStr">
        <x:is>
          <x:t xml:space="preserve">open</x:t>
        </x:is>
      </x:c>
      <x:c s="17" r="K5" t="inlineStr">
        <x:is>
          <x:t xml:space="preserve">https://huggingface.co/deepseek-ai/DeepSeek-V3-0324</x:t>
        </x:is>
      </x:c>
      <x:c s="14" r="L5" t="inlineStr">
        <x:is>
          <x:t xml:space="preserve"/>
        </x:is>
      </x:c>
      <x:c s="14" r="M5" t="inlineStr">
        <x:is>
          <x:t xml:space="preserve">NO FIT</x:t>
        </x:is>
      </x:c>
      <x:c s="15" r="N5"/>
      <x:c s="14" r="O5" t="inlineStr">
        <x:is>
          <x:t xml:space="preserve">NO FIT</x:t>
        </x:is>
      </x:c>
      <x:c s="15" r="P5"/>
      <x:c s="14" r="Q5" t="inlineStr">
        <x:is>
          <x:t xml:space="preserve">Excluded</x:t>
        </x:is>
      </x:c>
      <x:c s="18" r="R5" t="inlineStr">
        <x:is>
          <x:t xml:space="preserve">Too large for 100GB by this workbook's heuristic.</x:t>
        </x:is>
      </x:c>
      <x:c s="14" r="S5" t="inlineStr">
        <x:is>
          <x:t xml:space="preserve">current_org_page_2026-03-27</x:t>
        </x:is>
      </x:c>
      <x:c s="17" r="T5" t="inlineStr">
        <x:is>
          <x:t xml:space="preserve">https://huggingface.co/deepseek-ai</x:t>
        </x:is>
      </x:c>
      <x:c s="14" r="U5" t="inlineStr">
        <x:is>
          <x:t xml:space="preserve">Transformers; community GGUF/AWQ</x:t>
        </x:is>
      </x:c>
      <x:c s="15" r="V5" t="n">
        <x:v>1812.4</x:v>
      </x:c>
      <x:c s="15" r="W5" t="n">
        <x:v>908.2</x:v>
      </x:c>
      <x:c s="15" r="X5" t="n">
        <x:v>682.2</x:v>
      </x:c>
      <x:c s="15" r="Y5" t="n">
        <x:v>569.1</x:v>
      </x:c>
      <x:c s="15" r="Z5" t="n">
        <x:v>456.1</x:v>
      </x:c>
      <x:c s="15" r="AA5" t="n">
        <x:v>343.1</x:v>
      </x:c>
      <x:c s="15" r="AB5" t="n">
        <x:v>230.1</x:v>
      </x:c>
    </x:row>
    <x:row r="6">
      <x:c r="A6" t="inlineStr">
        <x:is>
          <x:t xml:space="preserve">DeepSeek</x:t>
        </x:is>
      </x:c>
      <x:c s="14" r="B6" t="inlineStr">
        <x:is>
          <x:t xml:space="preserve">deepseek-ai/DeepSeek-V3.2</x:t>
        </x:is>
      </x:c>
      <x:c s="14" r="C6" t="inlineStr">
        <x:is>
          <x:t xml:space="preserve">DeepSeek-V3.2</x:t>
        </x:is>
      </x:c>
      <x:c s="15" r="D6" t="n">
        <x:v>685</x:v>
      </x:c>
      <x:c s="15" r="E6"/>
      <x:c s="14" r="F6" t="inlineStr">
        <x:is>
          <x:t xml:space="preserve">general</x:t>
        </x:is>
      </x:c>
      <x:c s="14" r="G6" t="inlineStr">
        <x:is>
          <x:t xml:space="preserve">text</x:t>
        </x:is>
      </x:c>
      <x:c r="H6" t="inlineStr">
        <x:is>
          <x:t xml:space="preserve">general</x:t>
        </x:is>
      </x:c>
      <x:c r="I6" t="inlineStr">
        <x:is>
          <x:t xml:space="preserve">MoE</x:t>
        </x:is>
      </x:c>
      <x:c s="23" r="J6" t="inlineStr">
        <x:is>
          <x:t xml:space="preserve">open</x:t>
        </x:is>
      </x:c>
      <x:c s="17" r="K6" t="inlineStr">
        <x:is>
          <x:t xml:space="preserve">https://huggingface.co/deepseek-ai/DeepSeek-V3.2</x:t>
        </x:is>
      </x:c>
      <x:c s="14" r="L6" t="inlineStr">
        <x:is>
          <x:t xml:space="preserve"/>
        </x:is>
      </x:c>
      <x:c s="14" r="M6" t="inlineStr">
        <x:is>
          <x:t xml:space="preserve">NO FIT</x:t>
        </x:is>
      </x:c>
      <x:c s="15" r="N6"/>
      <x:c s="14" r="O6" t="inlineStr">
        <x:is>
          <x:t xml:space="preserve">NO FIT</x:t>
        </x:is>
      </x:c>
      <x:c s="15" r="P6"/>
      <x:c s="14" r="Q6" t="inlineStr">
        <x:is>
          <x:t xml:space="preserve">Excluded</x:t>
        </x:is>
      </x:c>
      <x:c s="18" r="R6" t="inlineStr">
        <x:is>
          <x:t xml:space="preserve">Too large for 100GB by this workbook's heuristic.</x:t>
        </x:is>
      </x:c>
      <x:c s="14" r="S6" t="inlineStr">
        <x:is>
          <x:t xml:space="preserve">current_org_page_2026-03-27</x:t>
        </x:is>
      </x:c>
      <x:c s="17" r="T6" t="inlineStr">
        <x:is>
          <x:t xml:space="preserve">https://huggingface.co/deepseek-ai</x:t>
        </x:is>
      </x:c>
      <x:c s="14" r="U6" t="inlineStr">
        <x:is>
          <x:t xml:space="preserve">Transformers; community GGUF/AWQ</x:t>
        </x:is>
      </x:c>
      <x:c s="15" r="V6" t="n">
        <x:v>1812.4</x:v>
      </x:c>
      <x:c s="15" r="W6" t="n">
        <x:v>908.2</x:v>
      </x:c>
      <x:c s="15" r="X6" t="n">
        <x:v>682.2</x:v>
      </x:c>
      <x:c s="15" r="Y6" t="n">
        <x:v>569.1</x:v>
      </x:c>
      <x:c s="15" r="Z6" t="n">
        <x:v>456.1</x:v>
      </x:c>
      <x:c s="15" r="AA6" t="n">
        <x:v>343.1</x:v>
      </x:c>
      <x:c s="15" r="AB6" t="n">
        <x:v>230.1</x:v>
      </x:c>
    </x:row>
    <x:row r="7">
      <x:c r="A7" t="inlineStr">
        <x:is>
          <x:t xml:space="preserve">DeepSeek</x:t>
        </x:is>
      </x:c>
      <x:c s="14" r="B7" t="inlineStr">
        <x:is>
          <x:t xml:space="preserve">deepseek-ai/DeepSeek-Prover-V2-671B</x:t>
        </x:is>
      </x:c>
      <x:c s="14" r="C7" t="inlineStr">
        <x:is>
          <x:t xml:space="preserve">DeepSeek-Prover-V2-671B</x:t>
        </x:is>
      </x:c>
      <x:c s="15" r="D7" t="n">
        <x:v>671</x:v>
      </x:c>
      <x:c s="15" r="E7"/>
      <x:c s="14" r="F7" t="inlineStr">
        <x:is>
          <x:t xml:space="preserve">theorem proving</x:t>
        </x:is>
      </x:c>
      <x:c s="14" r="G7" t="inlineStr">
        <x:is>
          <x:t xml:space="preserve">text</x:t>
        </x:is>
      </x:c>
      <x:c r="H7" t="inlineStr">
        <x:is>
          <x:t xml:space="preserve">specialized</x:t>
        </x:is>
      </x:c>
      <x:c r="I7" t="inlineStr">
        <x:is>
          <x:t xml:space="preserve">Dense</x:t>
        </x:is>
      </x:c>
      <x:c s="23" r="J7" t="inlineStr">
        <x:is>
          <x:t xml:space="preserve">open</x:t>
        </x:is>
      </x:c>
      <x:c s="17" r="K7" t="inlineStr">
        <x:is>
          <x:t xml:space="preserve">https://huggingface.co/deepseek-ai/DeepSeek-Prover-V2-671B</x:t>
        </x:is>
      </x:c>
      <x:c s="14" r="L7" t="inlineStr">
        <x:is>
          <x:t xml:space="preserve"/>
        </x:is>
      </x:c>
      <x:c s="14" r="M7" t="inlineStr">
        <x:is>
          <x:t xml:space="preserve">NO FIT</x:t>
        </x:is>
      </x:c>
      <x:c s="15" r="N7"/>
      <x:c s="14" r="O7" t="inlineStr">
        <x:is>
          <x:t xml:space="preserve">NO FIT</x:t>
        </x:is>
      </x:c>
      <x:c s="15" r="P7"/>
      <x:c s="14" r="Q7" t="inlineStr">
        <x:is>
          <x:t xml:space="preserve">Excluded</x:t>
        </x:is>
      </x:c>
      <x:c s="18" r="R7" t="inlineStr">
        <x:is>
          <x:t xml:space="preserve">Too large for 100GB by this workbook's heuristic.</x:t>
        </x:is>
      </x:c>
      <x:c s="14" r="S7" t="inlineStr">
        <x:is>
          <x:t xml:space="preserve">stable_series_pattern</x:t>
        </x:is>
      </x:c>
      <x:c s="17" r="T7" t="inlineStr">
        <x:is>
          <x:t xml:space="preserve">https://huggingface.co/deepseek-ai</x:t>
        </x:is>
      </x:c>
      <x:c s="14" r="U7" t="inlineStr">
        <x:is>
          <x:t xml:space="preserve">Transformers; community GGUF/AWQ</x:t>
        </x:is>
      </x:c>
      <x:c s="15" r="V7" t="n">
        <x:v>1701.6</x:v>
      </x:c>
      <x:c s="15" r="W7" t="n">
        <x:v>852.8</x:v>
      </x:c>
      <x:c s="15" r="X7" t="n">
        <x:v>640.6</x:v>
      </x:c>
      <x:c s="15" r="Y7" t="n">
        <x:v>534.5</x:v>
      </x:c>
      <x:c s="15" r="Z7" t="n">
        <x:v>428.4</x:v>
      </x:c>
      <x:c s="15" r="AA7" t="n">
        <x:v>322.3</x:v>
      </x:c>
      <x:c s="15" r="AB7" t="n">
        <x:v>216.2</x:v>
      </x:c>
    </x:row>
    <x:row r="8">
      <x:c r="A8" t="inlineStr">
        <x:is>
          <x:t xml:space="preserve">Meta / Llama</x:t>
        </x:is>
      </x:c>
      <x:c s="14" r="B8" t="inlineStr">
        <x:is>
          <x:t xml:space="preserve">meta-llama/Llama-3.1-405B</x:t>
        </x:is>
      </x:c>
      <x:c s="14" r="C8" t="inlineStr">
        <x:is>
          <x:t xml:space="preserve">Llama 3.1 405B</x:t>
        </x:is>
      </x:c>
      <x:c s="15" r="D8" t="n">
        <x:v>405</x:v>
      </x:c>
      <x:c s="15" r="E8"/>
      <x:c s="14" r="F8" t="inlineStr">
        <x:is>
          <x:t xml:space="preserve">general</x:t>
        </x:is>
      </x:c>
      <x:c s="14" r="G8" t="inlineStr">
        <x:is>
          <x:t xml:space="preserve">text</x:t>
        </x:is>
      </x:c>
      <x:c r="H8" t="inlineStr">
        <x:is>
          <x:t xml:space="preserve">base</x:t>
        </x:is>
      </x:c>
      <x:c r="I8" t="inlineStr">
        <x:is>
          <x:t xml:space="preserve">Dense</x:t>
        </x:is>
      </x:c>
      <x:c s="23" r="J8" t="inlineStr">
        <x:is>
          <x:t xml:space="preserve">gated</x:t>
        </x:is>
      </x:c>
      <x:c s="17" r="K8" t="inlineStr">
        <x:is>
          <x:t xml:space="preserve">https://huggingface.co/meta-llama/Llama-3.1-405B</x:t>
        </x:is>
      </x:c>
      <x:c s="14" r="L8" t="inlineStr">
        <x:is>
          <x:t xml:space="preserve"/>
        </x:is>
      </x:c>
      <x:c s="14" r="M8" t="inlineStr">
        <x:is>
          <x:t xml:space="preserve">NO FIT</x:t>
        </x:is>
      </x:c>
      <x:c s="15" r="N8"/>
      <x:c s="14" r="O8" t="inlineStr">
        <x:is>
          <x:t xml:space="preserve">NO FIT</x:t>
        </x:is>
      </x:c>
      <x:c s="15" r="P8"/>
      <x:c s="14" r="Q8" t="inlineStr">
        <x:is>
          <x:t xml:space="preserve">Excluded</x:t>
        </x:is>
      </x:c>
      <x:c s="18" r="R8" t="inlineStr">
        <x:is>
          <x:t xml:space="preserve">Too large for 100GB by this workbook's heuristic.</x:t>
        </x:is>
      </x:c>
      <x:c s="14" r="S8" t="inlineStr">
        <x:is>
          <x:t xml:space="preserve">current_org_page_2026-03-27</x:t>
        </x:is>
      </x:c>
      <x:c s="17" r="T8" t="inlineStr">
        <x:is>
          <x:t xml:space="preserve">https://huggingface.co/meta-llama</x:t>
        </x:is>
      </x:c>
      <x:c s="14" r="U8" t="inlineStr">
        <x:is>
          <x:t xml:space="preserve">Transformers; GGUF; GPTQ/AWQ</x:t>
        </x:is>
      </x:c>
      <x:c s="15" r="V8" t="n">
        <x:v>1028.6</x:v>
      </x:c>
      <x:c s="15" r="W8" t="n">
        <x:v>516.3</x:v>
      </x:c>
      <x:c s="15" r="X8" t="n">
        <x:v>388.2</x:v>
      </x:c>
      <x:c s="15" r="Y8" t="n">
        <x:v>324.2</x:v>
      </x:c>
      <x:c s="15" r="Z8" t="n">
        <x:v>260.2</x:v>
      </x:c>
      <x:c s="15" r="AA8" t="n">
        <x:v>196.1</x:v>
      </x:c>
      <x:c s="15" r="AB8" t="n">
        <x:v>132.1</x:v>
      </x:c>
    </x:row>
    <x:row r="9">
      <x:c r="A9" t="inlineStr">
        <x:is>
          <x:t xml:space="preserve">Meta / Llama</x:t>
        </x:is>
      </x:c>
      <x:c s="14" r="B9" t="inlineStr">
        <x:is>
          <x:t xml:space="preserve">meta-llama/Llama-3.1-405B-Instruct</x:t>
        </x:is>
      </x:c>
      <x:c s="14" r="C9" t="inlineStr">
        <x:is>
          <x:t xml:space="preserve">Llama 3.1 405B Instruct</x:t>
        </x:is>
      </x:c>
      <x:c s="15" r="D9" t="n">
        <x:v>405</x:v>
      </x:c>
      <x:c s="15" r="E9"/>
      <x:c s="14" r="F9" t="inlineStr">
        <x:is>
          <x:t xml:space="preserve">general chat</x:t>
        </x:is>
      </x:c>
      <x:c s="14" r="G9" t="inlineStr">
        <x:is>
          <x:t xml:space="preserve">text</x:t>
        </x:is>
      </x:c>
      <x:c r="H9" t="inlineStr">
        <x:is>
          <x:t xml:space="preserve">instruct</x:t>
        </x:is>
      </x:c>
      <x:c r="I9" t="inlineStr">
        <x:is>
          <x:t xml:space="preserve">Dense</x:t>
        </x:is>
      </x:c>
      <x:c s="23" r="J9" t="inlineStr">
        <x:is>
          <x:t xml:space="preserve">gated</x:t>
        </x:is>
      </x:c>
      <x:c s="17" r="K9" t="inlineStr">
        <x:is>
          <x:t xml:space="preserve">https://huggingface.co/meta-llama/Llama-3.1-405B-Instruct</x:t>
        </x:is>
      </x:c>
      <x:c s="14" r="L9" t="inlineStr">
        <x:is>
          <x:t xml:space="preserve"/>
        </x:is>
      </x:c>
      <x:c s="14" r="M9" t="inlineStr">
        <x:is>
          <x:t xml:space="preserve">NO FIT</x:t>
        </x:is>
      </x:c>
      <x:c s="15" r="N9"/>
      <x:c s="14" r="O9" t="inlineStr">
        <x:is>
          <x:t xml:space="preserve">NO FIT</x:t>
        </x:is>
      </x:c>
      <x:c s="15" r="P9"/>
      <x:c s="14" r="Q9" t="inlineStr">
        <x:is>
          <x:t xml:space="preserve">Excluded</x:t>
        </x:is>
      </x:c>
      <x:c s="18" r="R9" t="inlineStr">
        <x:is>
          <x:t xml:space="preserve">Too large for 100GB by this workbook's heuristic.</x:t>
        </x:is>
      </x:c>
      <x:c s="14" r="S9" t="inlineStr">
        <x:is>
          <x:t xml:space="preserve">current_org_page_2026-03-27</x:t>
        </x:is>
      </x:c>
      <x:c s="17" r="T9" t="inlineStr">
        <x:is>
          <x:t xml:space="preserve">https://huggingface.co/meta-llama</x:t>
        </x:is>
      </x:c>
      <x:c s="14" r="U9" t="inlineStr">
        <x:is>
          <x:t xml:space="preserve">Transformers; GGUF; GPTQ/AWQ</x:t>
        </x:is>
      </x:c>
      <x:c s="15" r="V9" t="n">
        <x:v>1028.6</x:v>
      </x:c>
      <x:c s="15" r="W9" t="n">
        <x:v>516.3</x:v>
      </x:c>
      <x:c s="15" r="X9" t="n">
        <x:v>388.2</x:v>
      </x:c>
      <x:c s="15" r="Y9" t="n">
        <x:v>324.2</x:v>
      </x:c>
      <x:c s="15" r="Z9" t="n">
        <x:v>260.2</x:v>
      </x:c>
      <x:c s="15" r="AA9" t="n">
        <x:v>196.1</x:v>
      </x:c>
      <x:c s="15" r="AB9" t="n">
        <x:v>132.1</x:v>
      </x:c>
    </x:row>
    <x:row r="10">
      <x:c r="A10" t="inlineStr">
        <x:is>
          <x:t xml:space="preserve">Meta / Llama</x:t>
        </x:is>
      </x:c>
      <x:c s="14" r="B10" t="inlineStr">
        <x:is>
          <x:t xml:space="preserve">meta-llama/Llama-4-Maverick-17B-128E-Instruct</x:t>
        </x:is>
      </x:c>
      <x:c s="14" r="C10" t="inlineStr">
        <x:is>
          <x:t xml:space="preserve">Llama 4 Maverick 17B-128E Instruct</x:t>
        </x:is>
      </x:c>
      <x:c s="15" r="D10" t="n">
        <x:v>400</x:v>
      </x:c>
      <x:c s="15" r="E10" t="n">
        <x:v>17</x:v>
      </x:c>
      <x:c s="14" r="F10" t="inlineStr">
        <x:is>
          <x:t xml:space="preserve">multimodal chat</x:t>
        </x:is>
      </x:c>
      <x:c s="14" r="G10" t="inlineStr">
        <x:is>
          <x:t xml:space="preserve">text+vision</x:t>
        </x:is>
      </x:c>
      <x:c r="H10" t="inlineStr">
        <x:is>
          <x:t xml:space="preserve">instruct</x:t>
        </x:is>
      </x:c>
      <x:c r="I10" t="inlineStr">
        <x:is>
          <x:t xml:space="preserve">MoE</x:t>
        </x:is>
      </x:c>
      <x:c s="23" r="J10" t="inlineStr">
        <x:is>
          <x:t xml:space="preserve">gated</x:t>
        </x:is>
      </x:c>
      <x:c s="17" r="K10" t="inlineStr">
        <x:is>
          <x:t xml:space="preserve">https://huggingface.co/meta-llama/Llama-4-Maverick-17B-128E-Instruct</x:t>
        </x:is>
      </x:c>
      <x:c s="14" r="L10" t="inlineStr">
        <x:is>
          <x:t xml:space="preserve"/>
        </x:is>
      </x:c>
      <x:c s="14" r="M10" t="inlineStr">
        <x:is>
          <x:t xml:space="preserve">NO FIT</x:t>
        </x:is>
      </x:c>
      <x:c s="15" r="N10"/>
      <x:c s="14" r="O10" t="inlineStr">
        <x:is>
          <x:t xml:space="preserve">NO FIT</x:t>
        </x:is>
      </x:c>
      <x:c s="15" r="P10"/>
      <x:c s="14" r="Q10" t="inlineStr">
        <x:is>
          <x:t xml:space="preserve">Excluded</x:t>
        </x:is>
      </x:c>
      <x:c s="18" r="R10" t="inlineStr">
        <x:is>
          <x:t xml:space="preserve">Too large for 100GB by this workbook's heuristic.</x:t>
        </x:is>
      </x:c>
      <x:c s="14" r="S10" t="inlineStr">
        <x:is>
          <x:t xml:space="preserve">current_org_page_2026-03-27</x:t>
        </x:is>
      </x:c>
      <x:c s="17" r="T10" t="inlineStr">
        <x:is>
          <x:t xml:space="preserve">https://huggingface.co/meta-llama</x:t>
        </x:is>
      </x:c>
      <x:c s="14" r="U10" t="inlineStr">
        <x:is>
          <x:t xml:space="preserve">Transformers; GGUF; GPTQ/AWQ</x:t>
        </x:is>
      </x:c>
      <x:c s="15" r="V10" t="n">
        <x:v>1060</x:v>
      </x:c>
      <x:c s="15" r="W10" t="n">
        <x:v>532</x:v>
      </x:c>
      <x:c s="15" r="X10" t="n">
        <x:v>400</x:v>
      </x:c>
      <x:c s="15" r="Y10" t="n">
        <x:v>334</x:v>
      </x:c>
      <x:c s="15" r="Z10" t="n">
        <x:v>268</x:v>
      </x:c>
      <x:c s="15" r="AA10" t="n">
        <x:v>202</x:v>
      </x:c>
      <x:c s="15" r="AB10" t="n">
        <x:v>136</x:v>
      </x:c>
    </x:row>
    <x:row r="11">
      <x:c r="A11" t="inlineStr">
        <x:is>
          <x:t xml:space="preserve">Mistral</x:t>
        </x:is>
      </x:c>
      <x:c s="14" r="B11" t="inlineStr">
        <x:is>
          <x:t xml:space="preserve">mistralai/Mistral-Large-3-675B-Base-2512</x:t>
        </x:is>
      </x:c>
      <x:c s="14" r="C11" t="inlineStr">
        <x:is>
          <x:t xml:space="preserve">Mistral-Large-3-675B-Base-2512</x:t>
        </x:is>
      </x:c>
      <x:c s="15" r="D11" t="n">
        <x:v>675</x:v>
      </x:c>
      <x:c s="15" r="E11"/>
      <x:c s="14" r="F11" t="inlineStr">
        <x:is>
          <x:t xml:space="preserve">general</x:t>
        </x:is>
      </x:c>
      <x:c s="14" r="G11" t="inlineStr">
        <x:is>
          <x:t xml:space="preserve">text</x:t>
        </x:is>
      </x:c>
      <x:c r="H11" t="inlineStr">
        <x:is>
          <x:t xml:space="preserve">base</x:t>
        </x:is>
      </x:c>
      <x:c r="I11" t="inlineStr">
        <x:is>
          <x:t xml:space="preserve">Dense</x:t>
        </x:is>
      </x:c>
      <x:c s="23" r="J11" t="inlineStr">
        <x:is>
          <x:t xml:space="preserve">open</x:t>
        </x:is>
      </x:c>
      <x:c s="17" r="K11" t="inlineStr">
        <x:is>
          <x:t xml:space="preserve">https://huggingface.co/mistralai/Mistral-Large-3-675B-Base-2512</x:t>
        </x:is>
      </x:c>
      <x:c s="14" r="L11" t="inlineStr">
        <x:is>
          <x:t xml:space="preserve"/>
        </x:is>
      </x:c>
      <x:c s="14" r="M11" t="inlineStr">
        <x:is>
          <x:t xml:space="preserve">NO FIT</x:t>
        </x:is>
      </x:c>
      <x:c s="15" r="N11"/>
      <x:c s="14" r="O11" t="inlineStr">
        <x:is>
          <x:t xml:space="preserve">NO FIT</x:t>
        </x:is>
      </x:c>
      <x:c s="15" r="P11"/>
      <x:c s="14" r="Q11" t="inlineStr">
        <x:is>
          <x:t xml:space="preserve">Excluded</x:t>
        </x:is>
      </x:c>
      <x:c s="18" r="R11" t="inlineStr">
        <x:is>
          <x:t xml:space="preserve">Too large for 100GB by this workbook's heuristic.</x:t>
        </x:is>
      </x:c>
      <x:c s="14" r="S11" t="inlineStr">
        <x:is>
          <x:t xml:space="preserve">current_family_page_2026-03-27</x:t>
        </x:is>
      </x:c>
      <x:c s="17" r="T11" t="inlineStr">
        <x:is>
          <x:t xml:space="preserve">https://huggingface.co/collections/mistralai/mistral-large-3-68566dd8f0187e3de14ead5e</x:t>
        </x:is>
      </x:c>
      <x:c s="14" r="U11" t="inlineStr">
        <x:is>
          <x:t xml:space="preserve">Transformers; GGUF</x:t>
        </x:is>
      </x:c>
      <x:c s="15" r="V11" t="n">
        <x:v>1711.8</x:v>
      </x:c>
      <x:c s="15" r="W11" t="n">
        <x:v>857.9</x:v>
      </x:c>
      <x:c s="15" r="X11" t="n">
        <x:v>644.4</x:v>
      </x:c>
      <x:c s="15" r="Y11" t="n">
        <x:v>537.7</x:v>
      </x:c>
      <x:c s="15" r="Z11" t="n">
        <x:v>430.9</x:v>
      </x:c>
      <x:c s="15" r="AA11" t="n">
        <x:v>324.2</x:v>
      </x:c>
      <x:c s="15" r="AB11" t="n">
        <x:v>217.5</x:v>
      </x:c>
    </x:row>
    <x:row r="12">
      <x:c r="A12" t="inlineStr">
        <x:is>
          <x:t xml:space="preserve">Mistral</x:t>
        </x:is>
      </x:c>
      <x:c s="14" r="B12" t="inlineStr">
        <x:is>
          <x:t xml:space="preserve">mistralai/Mistral-Large-3-675B-Instruct-2512</x:t>
        </x:is>
      </x:c>
      <x:c s="14" r="C12" t="inlineStr">
        <x:is>
          <x:t xml:space="preserve">Mistral-Large-3-675B-Instruct-2512</x:t>
        </x:is>
      </x:c>
      <x:c s="15" r="D12" t="n">
        <x:v>675</x:v>
      </x:c>
      <x:c s="15" r="E12"/>
      <x:c s="14" r="F12" t="inlineStr">
        <x:is>
          <x:t xml:space="preserve">general chat</x:t>
        </x:is>
      </x:c>
      <x:c s="14" r="G12" t="inlineStr">
        <x:is>
          <x:t xml:space="preserve">text</x:t>
        </x:is>
      </x:c>
      <x:c r="H12" t="inlineStr">
        <x:is>
          <x:t xml:space="preserve">instruct</x:t>
        </x:is>
      </x:c>
      <x:c r="I12" t="inlineStr">
        <x:is>
          <x:t xml:space="preserve">Dense</x:t>
        </x:is>
      </x:c>
      <x:c s="23" r="J12" t="inlineStr">
        <x:is>
          <x:t xml:space="preserve">open</x:t>
        </x:is>
      </x:c>
      <x:c s="17" r="K12" t="inlineStr">
        <x:is>
          <x:t xml:space="preserve">https://huggingface.co/mistralai/Mistral-Large-3-675B-Instruct-2512</x:t>
        </x:is>
      </x:c>
      <x:c s="14" r="L12" t="inlineStr">
        <x:is>
          <x:t xml:space="preserve">https://huggingface.co/mistralai/Mistral-Large-3-675B-Instruct-2512-NVFP4</x:t>
        </x:is>
      </x:c>
      <x:c s="14" r="M12" t="inlineStr">
        <x:is>
          <x:t xml:space="preserve">NO FIT</x:t>
        </x:is>
      </x:c>
      <x:c s="15" r="N12"/>
      <x:c s="14" r="O12" t="inlineStr">
        <x:is>
          <x:t xml:space="preserve">NO FIT</x:t>
        </x:is>
      </x:c>
      <x:c s="15" r="P12"/>
      <x:c s="14" r="Q12" t="inlineStr">
        <x:is>
          <x:t xml:space="preserve">Excluded</x:t>
        </x:is>
      </x:c>
      <x:c s="18" r="R12" t="inlineStr">
        <x:is>
          <x:t xml:space="preserve">Too large for 100GB by this workbook's heuristic.</x:t>
        </x:is>
      </x:c>
      <x:c s="14" r="S12" t="inlineStr">
        <x:is>
          <x:t xml:space="preserve">current_family_page_2026-03-27</x:t>
        </x:is>
      </x:c>
      <x:c s="17" r="T12" t="inlineStr">
        <x:is>
          <x:t xml:space="preserve">https://huggingface.co/collections/mistralai/mistral-large-3-68566dd8f0187e3de14ead5e</x:t>
        </x:is>
      </x:c>
      <x:c s="14" r="U12" t="inlineStr">
        <x:is>
          <x:t xml:space="preserve">Transformers; GGUF</x:t>
        </x:is>
      </x:c>
      <x:c s="15" r="V12" t="n">
        <x:v>1711.8</x:v>
      </x:c>
      <x:c s="15" r="W12" t="n">
        <x:v>857.9</x:v>
      </x:c>
      <x:c s="15" r="X12" t="n">
        <x:v>644.4</x:v>
      </x:c>
      <x:c s="15" r="Y12" t="n">
        <x:v>537.7</x:v>
      </x:c>
      <x:c s="15" r="Z12" t="n">
        <x:v>430.9</x:v>
      </x:c>
      <x:c s="15" r="AA12" t="n">
        <x:v>324.2</x:v>
      </x:c>
      <x:c s="15" r="AB12" t="n">
        <x:v>217.5</x:v>
      </x:c>
    </x:row>
    <x:row r="13">
      <x:c r="A13" t="inlineStr">
        <x:is>
          <x:t xml:space="preserve">Moonshot / Kimi</x:t>
        </x:is>
      </x:c>
      <x:c s="14" r="B13" t="inlineStr">
        <x:is>
          <x:t xml:space="preserve">moonshotai/Kimi-K2.5</x:t>
        </x:is>
      </x:c>
      <x:c s="14" r="C13" t="inlineStr">
        <x:is>
          <x:t xml:space="preserve">Kimi-K2.5</x:t>
        </x:is>
      </x:c>
      <x:c s="15" r="D13" t="n">
        <x:v>1000</x:v>
      </x:c>
      <x:c s="15" r="E13" t="n">
        <x:v>32</x:v>
      </x:c>
      <x:c s="14" r="F13" t="inlineStr">
        <x:is>
          <x:t xml:space="preserve">agentic multimodal</x:t>
        </x:is>
      </x:c>
      <x:c s="14" r="G13" t="inlineStr">
        <x:is>
          <x:t xml:space="preserve">text+vision</x:t>
        </x:is>
      </x:c>
      <x:c r="H13" t="inlineStr">
        <x:is>
          <x:t xml:space="preserve">thinking / instant</x:t>
        </x:is>
      </x:c>
      <x:c r="I13" t="inlineStr">
        <x:is>
          <x:t xml:space="preserve">MoE</x:t>
        </x:is>
      </x:c>
      <x:c s="23" r="J13" t="inlineStr">
        <x:is>
          <x:t xml:space="preserve">open</x:t>
        </x:is>
      </x:c>
      <x:c s="17" r="K13" t="inlineStr">
        <x:is>
          <x:t xml:space="preserve">https://huggingface.co/moonshotai/Kimi-K2.5</x:t>
        </x:is>
      </x:c>
      <x:c s="14" r="L13" t="inlineStr">
        <x:is>
          <x:t xml:space="preserve"/>
        </x:is>
      </x:c>
      <x:c s="14" r="M13" t="inlineStr">
        <x:is>
          <x:t xml:space="preserve">NO FIT</x:t>
        </x:is>
      </x:c>
      <x:c s="15" r="N13"/>
      <x:c s="14" r="O13" t="inlineStr">
        <x:is>
          <x:t xml:space="preserve">NO FIT</x:t>
        </x:is>
      </x:c>
      <x:c s="15" r="P13"/>
      <x:c s="14" r="Q13" t="inlineStr">
        <x:is>
          <x:t xml:space="preserve">Excluded</x:t>
        </x:is>
      </x:c>
      <x:c s="18" r="R13" t="inlineStr">
        <x:is>
          <x:t xml:space="preserve">Native INT4 is available officially, but the model is still excluded under this workbook heuristic.</x:t>
        </x:is>
      </x:c>
      <x:c s="14" r="S13" t="inlineStr">
        <x:is>
          <x:t xml:space="preserve">current_repo_page_2026-04-21</x:t>
        </x:is>
      </x:c>
      <x:c s="17" r="T13" t="inlineStr">
        <x:is>
          <x:t xml:space="preserve">https://huggingface.co/moonshotai</x:t>
        </x:is>
      </x:c>
      <x:c s="14" r="U13" t="inlineStr">
        <x:is>
          <x:t xml:space="preserve">Transformers; compressed-tensors</x:t>
        </x:is>
      </x:c>
      <x:c s="15" r="V13" t="n">
        <x:v>2644</x:v>
      </x:c>
      <x:c s="15" r="W13" t="n">
        <x:v>1324</x:v>
      </x:c>
      <x:c s="15" r="X13" t="n">
        <x:v>994</x:v>
      </x:c>
      <x:c s="15" r="Y13" t="n">
        <x:v>829</x:v>
      </x:c>
      <x:c s="15" r="Z13" t="n">
        <x:v>664</x:v>
      </x:c>
      <x:c s="15" r="AA13" t="n">
        <x:v>499</x:v>
      </x:c>
      <x:c s="15" r="AB13" t="n">
        <x:v>334</x:v>
      </x:c>
    </x:row>
    <x:row r="14">
      <x:c r="A14" t="inlineStr">
        <x:is>
          <x:t xml:space="preserve">Qwen</x:t>
        </x:is>
      </x:c>
      <x:c s="14" r="B14" t="inlineStr">
        <x:is>
          <x:t xml:space="preserve">Qwen/Qwen3.5-397B-A17B</x:t>
        </x:is>
      </x:c>
      <x:c s="14" r="C14" t="inlineStr">
        <x:is>
          <x:t xml:space="preserve">Qwen3.5-397B-A17B</x:t>
        </x:is>
      </x:c>
      <x:c s="15" r="D14" t="n">
        <x:v>397</x:v>
      </x:c>
      <x:c s="15" r="E14" t="n">
        <x:v>17</x:v>
      </x:c>
      <x:c s="14" r="F14" t="inlineStr">
        <x:is>
          <x:t xml:space="preserve">multimodal</x:t>
        </x:is>
      </x:c>
      <x:c s="14" r="G14" t="inlineStr">
        <x:is>
          <x:t xml:space="preserve">text+vision</x:t>
        </x:is>
      </x:c>
      <x:c r="H14" t="inlineStr">
        <x:is>
          <x:t xml:space="preserve">multimodal</x:t>
        </x:is>
      </x:c>
      <x:c r="I14" t="inlineStr">
        <x:is>
          <x:t xml:space="preserve">MoE</x:t>
        </x:is>
      </x:c>
      <x:c s="23" r="J14" t="inlineStr">
        <x:is>
          <x:t xml:space="preserve">open</x:t>
        </x:is>
      </x:c>
      <x:c s="17" r="K14" t="inlineStr">
        <x:is>
          <x:t xml:space="preserve">https://huggingface.co/Qwen/Qwen3.5-397B-A17B</x:t>
        </x:is>
      </x:c>
      <x:c s="14" r="L14" t="inlineStr">
        <x:is>
          <x:t xml:space="preserve"/>
        </x:is>
      </x:c>
      <x:c s="14" r="M14" t="inlineStr">
        <x:is>
          <x:t xml:space="preserve">NO FIT</x:t>
        </x:is>
      </x:c>
      <x:c s="15" r="N14"/>
      <x:c s="14" r="O14" t="inlineStr">
        <x:is>
          <x:t xml:space="preserve">NO FIT</x:t>
        </x:is>
      </x:c>
      <x:c s="15" r="P14"/>
      <x:c s="14" r="Q14" t="inlineStr">
        <x:is>
          <x:t xml:space="preserve">Excluded</x:t>
        </x:is>
      </x:c>
      <x:c s="18" r="R14" t="inlineStr">
        <x:is>
          <x:t xml:space="preserve">Too large for 100GB by this workbook's heuristic.</x:t>
        </x:is>
      </x:c>
      <x:c s="14" r="S14" t="inlineStr">
        <x:is>
          <x:t xml:space="preserve">current_org_page_2026-03-27</x:t>
        </x:is>
      </x:c>
      <x:c s="17" r="T14" t="inlineStr">
        <x:is>
          <x:t xml:space="preserve">https://huggingface.co/Qwen</x:t>
        </x:is>
      </x:c>
      <x:c s="14" r="U14" t="inlineStr">
        <x:is>
          <x:t xml:space="preserve">Transformers; GGUF; AWQ/GPTQ</x:t>
        </x:is>
      </x:c>
      <x:c s="15" r="V14" t="n">
        <x:v>1052.1</x:v>
      </x:c>
      <x:c s="15" r="W14" t="n">
        <x:v>528</x:v>
      </x:c>
      <x:c s="15" r="X14" t="n">
        <x:v>397</x:v>
      </x:c>
      <x:c s="15" r="Y14" t="n">
        <x:v>331.5</x:v>
      </x:c>
      <x:c s="15" r="Z14" t="n">
        <x:v>266</x:v>
      </x:c>
      <x:c s="15" r="AA14" t="n">
        <x:v>200.5</x:v>
      </x:c>
      <x:c s="15" r="AB14" t="n">
        <x:v>135</x:v>
      </x:c>
    </x:row>
  </x:sheetData>
  <x:conditionalFormatting sqref="Q2:Q14">
    <x:cfRule type="expression" dxfId="0" priority="1">
      <x:formula>EXACT(Q2,"Comfortable")</x:formula>
    </x:cfRule>
    <x:cfRule type="expression" dxfId="1" priority="2">
      <x:formula>EXACT(Q2,"Near limit")</x:formula>
    </x:cfRule>
    <x:cfRule type="expression" dxfId="2" priority="3">
      <x:formula>EXACT(Q2,"Tight")</x:formula>
    </x:cfRule>
    <x:cfRule type="expression" dxfId="3" priority="4">
      <x:formula>EXACT(Q2,"Aggressive quant only")</x:formula>
    </x:cfRule>
    <x:cfRule type="expression" dxfId="4" priority="5">
      <x:formula>EXACT(Q2,"Excluded")</x:formula>
    </x:cfRule>
  </x:conditionalFormatting>
  <x:pageMargins left="0.7" right="0.7" top="0.75" bottom="0.75" header="0.3" footer="0.3"/>
  <x:legacyDrawing r:id="Ra27230d2c59643a4"/>
</x:worksheet>
</file>